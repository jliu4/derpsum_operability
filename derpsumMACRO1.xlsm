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3605" yWindow="-15" windowWidth="13665" windowHeight="13575" tabRatio="757" activeTab="2"/>
  </bookViews>
  <sheets>
    <sheet name="Input Control" sheetId="55" r:id="rId1"/>
    <sheet name="temp" sheetId="54" r:id="rId2"/>
    <sheet name="10K110" sheetId="56" r:id="rId3"/>
  </sheets>
  <externalReferences>
    <externalReference r:id="rId4"/>
  </externalReferences>
  <definedNames>
    <definedName name="_xlnm.Print_Area" localSheetId="2">'10K110'!$A$2:$AK$104</definedName>
    <definedName name="_xlnm.Print_Area" localSheetId="1">temp!$A$2:$AK$104</definedName>
  </definedNames>
  <calcPr calcId="145621"/>
</workbook>
</file>

<file path=xl/calcChain.xml><?xml version="1.0" encoding="utf-8"?>
<calcChain xmlns="http://schemas.openxmlformats.org/spreadsheetml/2006/main">
  <c r="J127" i="56" l="1"/>
  <c r="F127" i="56"/>
  <c r="E127" i="56"/>
  <c r="B127" i="56"/>
  <c r="G127" i="56" s="1"/>
  <c r="A127" i="56"/>
  <c r="I126" i="56"/>
  <c r="J125" i="56"/>
  <c r="F125" i="56"/>
  <c r="E125" i="56"/>
  <c r="B125" i="56"/>
  <c r="G125" i="56" s="1"/>
  <c r="A125" i="56"/>
  <c r="I124" i="56"/>
  <c r="J123" i="56"/>
  <c r="F123" i="56"/>
  <c r="E123" i="56"/>
  <c r="B123" i="56"/>
  <c r="G123" i="56" s="1"/>
  <c r="A123" i="56"/>
  <c r="X121" i="56"/>
  <c r="W121" i="56"/>
  <c r="V121" i="56"/>
  <c r="U121" i="56"/>
  <c r="T121" i="56"/>
  <c r="S121" i="56"/>
  <c r="R121" i="56"/>
  <c r="Q121" i="56"/>
  <c r="P121" i="56"/>
  <c r="O121" i="56"/>
  <c r="J121" i="56"/>
  <c r="F121" i="56"/>
  <c r="E121" i="56"/>
  <c r="B121" i="56"/>
  <c r="A121" i="56"/>
  <c r="X120" i="56"/>
  <c r="W120" i="56"/>
  <c r="V120" i="56"/>
  <c r="U120" i="56"/>
  <c r="T120" i="56"/>
  <c r="S120" i="56"/>
  <c r="R120" i="56"/>
  <c r="Q120" i="56"/>
  <c r="P120" i="56"/>
  <c r="O120" i="56"/>
  <c r="X119" i="56"/>
  <c r="W119" i="56"/>
  <c r="V119" i="56"/>
  <c r="U119" i="56"/>
  <c r="T119" i="56"/>
  <c r="S119" i="56"/>
  <c r="R119" i="56"/>
  <c r="Q119" i="56"/>
  <c r="P119" i="56"/>
  <c r="O119" i="56"/>
  <c r="J119" i="56"/>
  <c r="F119" i="56"/>
  <c r="E119" i="56"/>
  <c r="B119" i="56"/>
  <c r="G119" i="56" s="1"/>
  <c r="A119" i="56"/>
  <c r="X118" i="56"/>
  <c r="W118" i="56"/>
  <c r="V118" i="56"/>
  <c r="U118" i="56"/>
  <c r="T118" i="56"/>
  <c r="S118" i="56"/>
  <c r="R118" i="56"/>
  <c r="Q118" i="56"/>
  <c r="P118" i="56"/>
  <c r="O118" i="56"/>
  <c r="X117" i="56"/>
  <c r="W117" i="56"/>
  <c r="V117" i="56"/>
  <c r="U117" i="56"/>
  <c r="T117" i="56"/>
  <c r="S117" i="56"/>
  <c r="R117" i="56"/>
  <c r="Q117" i="56"/>
  <c r="P117" i="56"/>
  <c r="O117" i="56"/>
  <c r="J117" i="56"/>
  <c r="F117" i="56"/>
  <c r="E117" i="56"/>
  <c r="B117" i="56"/>
  <c r="A117" i="56"/>
  <c r="X116" i="56"/>
  <c r="W116" i="56"/>
  <c r="V116" i="56"/>
  <c r="U116" i="56"/>
  <c r="T116" i="56"/>
  <c r="S116" i="56"/>
  <c r="R116" i="56"/>
  <c r="Q116" i="56"/>
  <c r="P116" i="56"/>
  <c r="O116" i="56"/>
  <c r="X115" i="56"/>
  <c r="W115" i="56"/>
  <c r="V115" i="56"/>
  <c r="U115" i="56"/>
  <c r="T115" i="56"/>
  <c r="S115" i="56"/>
  <c r="R115" i="56"/>
  <c r="Q115" i="56"/>
  <c r="P115" i="56"/>
  <c r="O115" i="56"/>
  <c r="J115" i="56"/>
  <c r="F115" i="56"/>
  <c r="E115" i="56"/>
  <c r="B115" i="56"/>
  <c r="G115" i="56" s="1"/>
  <c r="A115" i="56"/>
  <c r="X114" i="56"/>
  <c r="W114" i="56"/>
  <c r="V114" i="56"/>
  <c r="U114" i="56"/>
  <c r="T114" i="56"/>
  <c r="S114" i="56"/>
  <c r="R114" i="56"/>
  <c r="Q114" i="56"/>
  <c r="P114" i="56"/>
  <c r="O114" i="56"/>
  <c r="X113" i="56"/>
  <c r="W113" i="56"/>
  <c r="V113" i="56"/>
  <c r="U113" i="56"/>
  <c r="T113" i="56"/>
  <c r="S113" i="56"/>
  <c r="R113" i="56"/>
  <c r="Q113" i="56"/>
  <c r="P113" i="56"/>
  <c r="O113" i="56"/>
  <c r="J113" i="56"/>
  <c r="F113" i="56"/>
  <c r="E113" i="56"/>
  <c r="B113" i="56"/>
  <c r="A113" i="56"/>
  <c r="X112" i="56"/>
  <c r="W112" i="56"/>
  <c r="V112" i="56"/>
  <c r="U112" i="56"/>
  <c r="T112" i="56"/>
  <c r="S112" i="56"/>
  <c r="R112" i="56"/>
  <c r="Q112" i="56"/>
  <c r="P112" i="56"/>
  <c r="O112" i="56"/>
  <c r="X111" i="56"/>
  <c r="W111" i="56"/>
  <c r="V111" i="56"/>
  <c r="U111" i="56"/>
  <c r="T111" i="56"/>
  <c r="S111" i="56"/>
  <c r="R111" i="56"/>
  <c r="Q111" i="56"/>
  <c r="P111" i="56"/>
  <c r="J111" i="56"/>
  <c r="G111" i="56"/>
  <c r="F111" i="56"/>
  <c r="E111" i="56"/>
  <c r="B111" i="56"/>
  <c r="A111" i="56"/>
  <c r="AV103" i="56"/>
  <c r="AV102" i="56"/>
  <c r="AV101" i="56"/>
  <c r="BO96" i="56"/>
  <c r="BM96" i="56"/>
  <c r="BL96" i="56"/>
  <c r="BJ96" i="56"/>
  <c r="BQ95" i="56"/>
  <c r="BQ96" i="56" s="1"/>
  <c r="BP95" i="56"/>
  <c r="BN95" i="56"/>
  <c r="BN96" i="56" s="1"/>
  <c r="BM95" i="56"/>
  <c r="BL95" i="56"/>
  <c r="BK95" i="56"/>
  <c r="BK96" i="56" s="1"/>
  <c r="BQ94" i="56"/>
  <c r="BS88" i="56" s="1"/>
  <c r="BP94" i="56"/>
  <c r="BN94" i="56"/>
  <c r="BM94" i="56"/>
  <c r="BL94" i="56"/>
  <c r="BK94" i="56"/>
  <c r="BL81" i="56" s="1"/>
  <c r="BN75" i="56" s="1"/>
  <c r="BQ93" i="56"/>
  <c r="BS89" i="56" s="1"/>
  <c r="BP93" i="56"/>
  <c r="BN93" i="56"/>
  <c r="BM93" i="56"/>
  <c r="BL93" i="56"/>
  <c r="BK93" i="56"/>
  <c r="BQ92" i="56"/>
  <c r="BP79" i="56" s="1"/>
  <c r="BR77" i="56" s="1"/>
  <c r="BP92" i="56"/>
  <c r="BN92" i="56"/>
  <c r="BM92" i="56"/>
  <c r="BL92" i="56"/>
  <c r="BK92" i="56"/>
  <c r="BQ91" i="56"/>
  <c r="BS91" i="56" s="1"/>
  <c r="BP91" i="56"/>
  <c r="BR91" i="56" s="1"/>
  <c r="BN91" i="56"/>
  <c r="BM91" i="56"/>
  <c r="BL91" i="56"/>
  <c r="BK91" i="56"/>
  <c r="BQ90" i="56"/>
  <c r="BS92" i="56" s="1"/>
  <c r="BP90" i="56"/>
  <c r="BN90" i="56"/>
  <c r="BM90" i="56"/>
  <c r="BL90" i="56"/>
  <c r="BK90" i="56"/>
  <c r="BL77" i="56" s="1"/>
  <c r="BN79" i="56" s="1"/>
  <c r="BQ89" i="56"/>
  <c r="BS93" i="56" s="1"/>
  <c r="BP89" i="56"/>
  <c r="BN89" i="56"/>
  <c r="BM89" i="56"/>
  <c r="BL89" i="56"/>
  <c r="BK89" i="56"/>
  <c r="BQ88" i="56"/>
  <c r="BP75" i="56" s="1"/>
  <c r="BR81" i="56" s="1"/>
  <c r="BP88" i="56"/>
  <c r="BN88" i="56"/>
  <c r="BM88" i="56"/>
  <c r="BL88" i="56"/>
  <c r="BK88" i="56"/>
  <c r="BQ87" i="56"/>
  <c r="BS95" i="56" s="1"/>
  <c r="BP87" i="56"/>
  <c r="BR95" i="56" s="1"/>
  <c r="BN87" i="56"/>
  <c r="BN86" i="56" s="1"/>
  <c r="BM87" i="56"/>
  <c r="BL87" i="56"/>
  <c r="BK87" i="56"/>
  <c r="BO86" i="56"/>
  <c r="BQ86" i="56" s="1"/>
  <c r="BL86" i="56"/>
  <c r="BK86" i="56"/>
  <c r="BJ86" i="56"/>
  <c r="BO83" i="56"/>
  <c r="BJ83" i="56"/>
  <c r="BK83" i="56" s="1"/>
  <c r="CA82" i="56"/>
  <c r="BZ82" i="56"/>
  <c r="BX82" i="56"/>
  <c r="BW82" i="56"/>
  <c r="BV82" i="56"/>
  <c r="BQ82" i="56"/>
  <c r="BS74" i="56" s="1"/>
  <c r="BP82" i="56"/>
  <c r="BM82" i="56"/>
  <c r="BL82" i="56"/>
  <c r="BL83" i="56" s="1"/>
  <c r="BK82" i="56"/>
  <c r="CA81" i="56"/>
  <c r="BZ81" i="56"/>
  <c r="BX81" i="56"/>
  <c r="CA75" i="56" s="1"/>
  <c r="BW81" i="56"/>
  <c r="BV81" i="56"/>
  <c r="BP81" i="56"/>
  <c r="BP83" i="56" s="1"/>
  <c r="BN81" i="56"/>
  <c r="BM81" i="56"/>
  <c r="BK81" i="56"/>
  <c r="BM75" i="56" s="1"/>
  <c r="BX80" i="56"/>
  <c r="CA76" i="56" s="1"/>
  <c r="BW80" i="56"/>
  <c r="BZ76" i="56" s="1"/>
  <c r="BV80" i="56"/>
  <c r="BY76" i="56" s="1"/>
  <c r="BL80" i="56"/>
  <c r="BN76" i="56" s="1"/>
  <c r="BK80" i="56"/>
  <c r="BM76" i="56" s="1"/>
  <c r="BZ79" i="56"/>
  <c r="BX79" i="56"/>
  <c r="BW79" i="56"/>
  <c r="BV79" i="56"/>
  <c r="BR79" i="56"/>
  <c r="BL79" i="56"/>
  <c r="BK79" i="56"/>
  <c r="BM77" i="56" s="1"/>
  <c r="CA78" i="56"/>
  <c r="BZ78" i="56"/>
  <c r="BY78" i="56"/>
  <c r="BX78" i="56"/>
  <c r="BW78" i="56"/>
  <c r="BV78" i="56"/>
  <c r="BQ78" i="56"/>
  <c r="BS78" i="56" s="1"/>
  <c r="BP78" i="56"/>
  <c r="BM78" i="56"/>
  <c r="BL78" i="56"/>
  <c r="BN78" i="56" s="1"/>
  <c r="BK78" i="56"/>
  <c r="CA77" i="56"/>
  <c r="BZ77" i="56"/>
  <c r="BY77" i="56"/>
  <c r="BX77" i="56"/>
  <c r="CA79" i="56" s="1"/>
  <c r="BW77" i="56"/>
  <c r="BV77" i="56"/>
  <c r="BY79" i="56" s="1"/>
  <c r="BP77" i="56"/>
  <c r="BN77" i="56"/>
  <c r="BK77" i="56"/>
  <c r="BM79" i="56" s="1"/>
  <c r="BX76" i="56"/>
  <c r="CA80" i="56" s="1"/>
  <c r="BW76" i="56"/>
  <c r="BZ80" i="56" s="1"/>
  <c r="BV76" i="56"/>
  <c r="BY80" i="56" s="1"/>
  <c r="BL76" i="56"/>
  <c r="BN80" i="56" s="1"/>
  <c r="BK76" i="56"/>
  <c r="BM80" i="56" s="1"/>
  <c r="BZ75" i="56"/>
  <c r="BY75" i="56"/>
  <c r="BX75" i="56"/>
  <c r="BW75" i="56"/>
  <c r="BV75" i="56"/>
  <c r="BY81" i="56" s="1"/>
  <c r="BL75" i="56"/>
  <c r="BK75" i="56"/>
  <c r="CA74" i="56"/>
  <c r="BZ74" i="56"/>
  <c r="BY74" i="56"/>
  <c r="BX74" i="56"/>
  <c r="BW74" i="56"/>
  <c r="BV74" i="56"/>
  <c r="BY82" i="56" s="1"/>
  <c r="BR74" i="56"/>
  <c r="BP74" i="56"/>
  <c r="BP73" i="56" s="1"/>
  <c r="BM74" i="56"/>
  <c r="BL74" i="56"/>
  <c r="BL73" i="56" s="1"/>
  <c r="BK74" i="56"/>
  <c r="BO73" i="56"/>
  <c r="BJ73" i="56"/>
  <c r="BX68" i="56"/>
  <c r="CA60" i="56" s="1"/>
  <c r="BW68" i="56"/>
  <c r="BZ60" i="56" s="1"/>
  <c r="BV68" i="56"/>
  <c r="BY60" i="56" s="1"/>
  <c r="BL68" i="56"/>
  <c r="BK68" i="56"/>
  <c r="BK69" i="56" s="1"/>
  <c r="BA68" i="56"/>
  <c r="BC68" i="56" s="1"/>
  <c r="AW68" i="56"/>
  <c r="AY68" i="56" s="1"/>
  <c r="BE68" i="56" s="1"/>
  <c r="AU68" i="56"/>
  <c r="BQ68" i="56" s="1"/>
  <c r="AJ68" i="56"/>
  <c r="AH68" i="56"/>
  <c r="AF68" i="56"/>
  <c r="AD68" i="56"/>
  <c r="BX67" i="56"/>
  <c r="CA61" i="56" s="1"/>
  <c r="BW67" i="56"/>
  <c r="BZ61" i="56" s="1"/>
  <c r="BV67" i="56"/>
  <c r="BY61" i="56" s="1"/>
  <c r="BK67" i="56"/>
  <c r="BC67" i="56"/>
  <c r="BA67" i="56"/>
  <c r="BP67" i="56" s="1"/>
  <c r="BR61" i="56" s="1"/>
  <c r="AW67" i="56"/>
  <c r="AY67" i="56" s="1"/>
  <c r="BE67" i="56" s="1"/>
  <c r="AU67" i="56"/>
  <c r="BQ67" i="56" s="1"/>
  <c r="BS61" i="56" s="1"/>
  <c r="AJ67" i="56"/>
  <c r="AH67" i="56"/>
  <c r="AF67" i="56"/>
  <c r="AD67" i="56"/>
  <c r="BX66" i="56"/>
  <c r="CA62" i="56" s="1"/>
  <c r="BW66" i="56"/>
  <c r="BZ62" i="56" s="1"/>
  <c r="BV66" i="56"/>
  <c r="BY62" i="56" s="1"/>
  <c r="BM66" i="56"/>
  <c r="BL66" i="56"/>
  <c r="BN62" i="56" s="1"/>
  <c r="BK66" i="56"/>
  <c r="BC66" i="56"/>
  <c r="BA66" i="56"/>
  <c r="BP66" i="56" s="1"/>
  <c r="BR62" i="56" s="1"/>
  <c r="AW66" i="56"/>
  <c r="AY66" i="56" s="1"/>
  <c r="BE66" i="56" s="1"/>
  <c r="AU66" i="56"/>
  <c r="BQ66" i="56" s="1"/>
  <c r="BS62" i="56" s="1"/>
  <c r="AJ66" i="56"/>
  <c r="AH66" i="56"/>
  <c r="AF66" i="56"/>
  <c r="AD66" i="56"/>
  <c r="BX65" i="56"/>
  <c r="CA63" i="56" s="1"/>
  <c r="BW65" i="56"/>
  <c r="BZ63" i="56" s="1"/>
  <c r="BL65" i="56"/>
  <c r="BN63" i="56" s="1"/>
  <c r="BK65" i="56"/>
  <c r="BM63" i="56" s="1"/>
  <c r="BC65" i="56"/>
  <c r="BA65" i="56"/>
  <c r="BP65" i="56" s="1"/>
  <c r="BR63" i="56" s="1"/>
  <c r="AW65" i="56"/>
  <c r="AY65" i="56" s="1"/>
  <c r="BE65" i="56" s="1"/>
  <c r="AU65" i="56"/>
  <c r="BQ65" i="56" s="1"/>
  <c r="BS63" i="56" s="1"/>
  <c r="AJ65" i="56"/>
  <c r="AH65" i="56"/>
  <c r="AF65" i="56"/>
  <c r="AD65" i="56"/>
  <c r="BX64" i="56"/>
  <c r="CA64" i="56" s="1"/>
  <c r="BW64" i="56"/>
  <c r="BZ64" i="56" s="1"/>
  <c r="BV64" i="56"/>
  <c r="BY64" i="56" s="1"/>
  <c r="BM64" i="56"/>
  <c r="BK64" i="56"/>
  <c r="BC64" i="56"/>
  <c r="BA64" i="56"/>
  <c r="BP64" i="56" s="1"/>
  <c r="AW64" i="56"/>
  <c r="AY64" i="56" s="1"/>
  <c r="BE64" i="56" s="1"/>
  <c r="AU64" i="56"/>
  <c r="BQ64" i="56" s="1"/>
  <c r="BS64" i="56" s="1"/>
  <c r="AJ64" i="56"/>
  <c r="AH64" i="56"/>
  <c r="AF64" i="56"/>
  <c r="AD64" i="56"/>
  <c r="BX63" i="56"/>
  <c r="CA65" i="56" s="1"/>
  <c r="BW63" i="56"/>
  <c r="BZ65" i="56" s="1"/>
  <c r="BV63" i="56"/>
  <c r="BY65" i="56" s="1"/>
  <c r="BK63" i="56"/>
  <c r="BM65" i="56" s="1"/>
  <c r="BC63" i="56"/>
  <c r="BA63" i="56"/>
  <c r="BP63" i="56" s="1"/>
  <c r="BR65" i="56" s="1"/>
  <c r="AW63" i="56"/>
  <c r="AY63" i="56" s="1"/>
  <c r="BE63" i="56" s="1"/>
  <c r="AU63" i="56"/>
  <c r="BQ63" i="56" s="1"/>
  <c r="BS65" i="56" s="1"/>
  <c r="AJ63" i="56"/>
  <c r="AH63" i="56"/>
  <c r="AF63" i="56"/>
  <c r="AD63" i="56"/>
  <c r="BX62" i="56"/>
  <c r="CA66" i="56" s="1"/>
  <c r="BW62" i="56"/>
  <c r="BZ66" i="56" s="1"/>
  <c r="BV62" i="56"/>
  <c r="BY66" i="56" s="1"/>
  <c r="BM62" i="56"/>
  <c r="BL62" i="56"/>
  <c r="BN66" i="56" s="1"/>
  <c r="BK62" i="56"/>
  <c r="BC62" i="56"/>
  <c r="BA62" i="56"/>
  <c r="BP62" i="56" s="1"/>
  <c r="BR66" i="56" s="1"/>
  <c r="AW62" i="56"/>
  <c r="AY62" i="56" s="1"/>
  <c r="BE62" i="56" s="1"/>
  <c r="AU62" i="56"/>
  <c r="BQ62" i="56" s="1"/>
  <c r="BS66" i="56" s="1"/>
  <c r="AJ62" i="56"/>
  <c r="AH62" i="56"/>
  <c r="AF62" i="56"/>
  <c r="AD62" i="56"/>
  <c r="BX61" i="56"/>
  <c r="CA67" i="56" s="1"/>
  <c r="BW61" i="56"/>
  <c r="BZ67" i="56" s="1"/>
  <c r="BM61" i="56"/>
  <c r="BL61" i="56"/>
  <c r="BN67" i="56" s="1"/>
  <c r="BK61" i="56"/>
  <c r="BM67" i="56" s="1"/>
  <c r="BC61" i="56"/>
  <c r="BA61" i="56"/>
  <c r="BP61" i="56" s="1"/>
  <c r="BR67" i="56" s="1"/>
  <c r="AW61" i="56"/>
  <c r="AY61" i="56" s="1"/>
  <c r="BE61" i="56" s="1"/>
  <c r="AU61" i="56"/>
  <c r="BQ61" i="56" s="1"/>
  <c r="BS67" i="56" s="1"/>
  <c r="AJ61" i="56"/>
  <c r="AH61" i="56"/>
  <c r="AF61" i="56"/>
  <c r="AD61" i="56"/>
  <c r="BX60" i="56"/>
  <c r="CA68" i="56" s="1"/>
  <c r="BW60" i="56"/>
  <c r="BZ68" i="56" s="1"/>
  <c r="BV60" i="56"/>
  <c r="BY68" i="56" s="1"/>
  <c r="BK60" i="56"/>
  <c r="BC60" i="56"/>
  <c r="BA60" i="56"/>
  <c r="BP60" i="56" s="1"/>
  <c r="BR68" i="56" s="1"/>
  <c r="BR69" i="56" s="1"/>
  <c r="AW60" i="56"/>
  <c r="AY60" i="56" s="1"/>
  <c r="BE60" i="56" s="1"/>
  <c r="AU60" i="56"/>
  <c r="BQ60" i="56" s="1"/>
  <c r="AJ60" i="56"/>
  <c r="AH60" i="56"/>
  <c r="AF60" i="56"/>
  <c r="AD60" i="56"/>
  <c r="BK58" i="56"/>
  <c r="BA58" i="56"/>
  <c r="AX56" i="56"/>
  <c r="AU56" i="56"/>
  <c r="O56" i="56"/>
  <c r="A56" i="56"/>
  <c r="BL55" i="56"/>
  <c r="BK55" i="56"/>
  <c r="A55" i="56"/>
  <c r="O54" i="56"/>
  <c r="A54" i="56"/>
  <c r="BD9" i="56"/>
  <c r="BM52" i="56" s="1"/>
  <c r="BD7" i="56"/>
  <c r="AV104" i="56" s="1"/>
  <c r="AT7" i="56"/>
  <c r="AR7" i="56"/>
  <c r="AV6" i="56"/>
  <c r="AV7" i="56" s="1"/>
  <c r="O4" i="56"/>
  <c r="AA4" i="56" s="1"/>
  <c r="AA56" i="56" s="1"/>
  <c r="O3" i="56"/>
  <c r="AA3" i="56" s="1"/>
  <c r="AA55" i="56" s="1"/>
  <c r="AL2" i="56"/>
  <c r="O2" i="56"/>
  <c r="AA2" i="56" s="1"/>
  <c r="BP72" i="56" l="1"/>
  <c r="BR73" i="56"/>
  <c r="BR64" i="56"/>
  <c r="BP86" i="56"/>
  <c r="BM60" i="56"/>
  <c r="BM59" i="56" s="1"/>
  <c r="BM58" i="56" s="1"/>
  <c r="BL57" i="56" s="1"/>
  <c r="BL63" i="56"/>
  <c r="BN65" i="56" s="1"/>
  <c r="BR82" i="56"/>
  <c r="BR83" i="56" s="1"/>
  <c r="BS68" i="56"/>
  <c r="BS69" i="56" s="1"/>
  <c r="BQ59" i="56"/>
  <c r="BQ69" i="56"/>
  <c r="BS60" i="56"/>
  <c r="BS59" i="56" s="1"/>
  <c r="BN72" i="56"/>
  <c r="BM73" i="56"/>
  <c r="BM72" i="56" s="1"/>
  <c r="G121" i="56"/>
  <c r="D120" i="56"/>
  <c r="BP59" i="56"/>
  <c r="BK59" i="56"/>
  <c r="BN60" i="56"/>
  <c r="BM83" i="56"/>
  <c r="AS6" i="56"/>
  <c r="BL60" i="56"/>
  <c r="BV61" i="56"/>
  <c r="BY67" i="56" s="1"/>
  <c r="BL64" i="56"/>
  <c r="BN64" i="56" s="1"/>
  <c r="BV65" i="56"/>
  <c r="BY63" i="56" s="1"/>
  <c r="BM68" i="56"/>
  <c r="BM69" i="56" s="1"/>
  <c r="BQ74" i="56"/>
  <c r="BK73" i="56"/>
  <c r="BL72" i="56"/>
  <c r="BM86" i="56"/>
  <c r="BR94" i="56"/>
  <c r="BR96" i="56" s="1"/>
  <c r="BQ75" i="56"/>
  <c r="BS81" i="56" s="1"/>
  <c r="BR90" i="56"/>
  <c r="BQ79" i="56"/>
  <c r="BS77" i="56" s="1"/>
  <c r="G117" i="56"/>
  <c r="D116" i="56"/>
  <c r="D118" i="56"/>
  <c r="BQ81" i="56"/>
  <c r="BS75" i="56" s="1"/>
  <c r="BS73" i="56" s="1"/>
  <c r="BR88" i="56"/>
  <c r="BQ76" i="56"/>
  <c r="BS80" i="56" s="1"/>
  <c r="BR93" i="56"/>
  <c r="BQ77" i="56"/>
  <c r="BS79" i="56" s="1"/>
  <c r="BR92" i="56"/>
  <c r="G113" i="56"/>
  <c r="I112" i="56" s="1"/>
  <c r="D112" i="56"/>
  <c r="D114" i="56"/>
  <c r="BR78" i="56"/>
  <c r="BQ80" i="56"/>
  <c r="BS76" i="56" s="1"/>
  <c r="BR89" i="56"/>
  <c r="BL67" i="56"/>
  <c r="BN61" i="56" s="1"/>
  <c r="BR75" i="56"/>
  <c r="BP96" i="56"/>
  <c r="BR87" i="56"/>
  <c r="BR86" i="56" s="1"/>
  <c r="BN74" i="56"/>
  <c r="BN73" i="56" s="1"/>
  <c r="BN82" i="56"/>
  <c r="BN83" i="56" s="1"/>
  <c r="D122" i="56"/>
  <c r="D124" i="56"/>
  <c r="D126" i="56"/>
  <c r="BP68" i="56"/>
  <c r="BK72" i="56"/>
  <c r="BP76" i="56"/>
  <c r="BR80" i="56" s="1"/>
  <c r="BP80" i="56"/>
  <c r="BR76" i="56" s="1"/>
  <c r="O55" i="56"/>
  <c r="BS87" i="56"/>
  <c r="BS86" i="56" s="1"/>
  <c r="BS90" i="56"/>
  <c r="BS94" i="56"/>
  <c r="BS96" i="56" s="1"/>
  <c r="J4" i="55"/>
  <c r="BM85" i="56" l="1"/>
  <c r="BM57" i="56"/>
  <c r="BL85" i="56"/>
  <c r="BK85" i="56"/>
  <c r="BN85" i="56"/>
  <c r="BL71" i="56"/>
  <c r="BR60" i="56"/>
  <c r="BR59" i="56" s="1"/>
  <c r="BR58" i="56" s="1"/>
  <c r="BQ57" i="56" s="1"/>
  <c r="BP69" i="56"/>
  <c r="AS7" i="56"/>
  <c r="AU11" i="56"/>
  <c r="AU12" i="56" s="1"/>
  <c r="AR11" i="56"/>
  <c r="AR12" i="56" s="1"/>
  <c r="BF7" i="56"/>
  <c r="BQ58" i="56"/>
  <c r="I116" i="56"/>
  <c r="I118" i="56"/>
  <c r="BS82" i="56"/>
  <c r="BS83" i="56" s="1"/>
  <c r="BQ73" i="56"/>
  <c r="BL69" i="56"/>
  <c r="BL58" i="56" s="1"/>
  <c r="BQ83" i="56"/>
  <c r="BQ72" i="56" s="1"/>
  <c r="BN68" i="56"/>
  <c r="BN69" i="56" s="1"/>
  <c r="BL59" i="56"/>
  <c r="I120" i="56"/>
  <c r="I122" i="56"/>
  <c r="BP58" i="56"/>
  <c r="BN58" i="56"/>
  <c r="BN59" i="56"/>
  <c r="I114" i="56"/>
  <c r="BS72" i="56"/>
  <c r="BR72" i="56"/>
  <c r="BQ71" i="56" s="1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N41" i="55"/>
  <c r="N40" i="55"/>
  <c r="L40" i="55"/>
  <c r="L41" i="55" s="1"/>
  <c r="B37" i="55"/>
  <c r="F33" i="55"/>
  <c r="B33" i="55" s="1"/>
  <c r="B31" i="55"/>
  <c r="BS85" i="56" l="1"/>
  <c r="BM51" i="56"/>
  <c r="BQ85" i="56"/>
  <c r="BR85" i="56"/>
  <c r="BP85" i="56"/>
  <c r="BR57" i="56"/>
  <c r="BS58" i="56"/>
  <c r="BN57" i="56"/>
  <c r="AU56" i="54"/>
  <c r="BS57" i="56" l="1"/>
  <c r="BV57" i="56"/>
  <c r="AQ6" i="56"/>
  <c r="AQ7" i="56" s="1"/>
  <c r="AS14" i="54"/>
  <c r="AS15" i="54" s="1"/>
  <c r="AR14" i="54"/>
  <c r="AR15" i="54" s="1"/>
  <c r="BX72" i="56" l="1"/>
  <c r="BY58" i="56"/>
  <c r="BW72" i="56"/>
  <c r="CA58" i="56"/>
  <c r="BV72" i="56"/>
  <c r="BZ58" i="56"/>
  <c r="BY72" i="56"/>
  <c r="BW58" i="56"/>
  <c r="BV58" i="56"/>
  <c r="BV71" i="56"/>
  <c r="CA72" i="56"/>
  <c r="BZ72" i="56"/>
  <c r="BX58" i="56"/>
  <c r="AT15" i="54"/>
  <c r="BX71" i="56" l="1"/>
  <c r="BW71" i="56"/>
  <c r="BX57" i="56"/>
  <c r="BW57" i="56"/>
  <c r="AV104" i="54"/>
  <c r="BY57" i="56" l="1"/>
  <c r="BY71" i="56"/>
  <c r="AS6" i="54"/>
  <c r="AD60" i="54" l="1"/>
  <c r="AF60" i="54"/>
  <c r="BD9" i="54" l="1"/>
  <c r="AT7" i="54"/>
  <c r="O2" i="54"/>
  <c r="AL2" i="54"/>
  <c r="O3" i="54"/>
  <c r="O4" i="54"/>
  <c r="O56" i="54" s="1"/>
  <c r="AA4" i="54"/>
  <c r="AA56" i="54" s="1"/>
  <c r="BA64" i="54"/>
  <c r="BP64" i="54" s="1"/>
  <c r="BR64" i="54" s="1"/>
  <c r="AW64" i="54"/>
  <c r="BA61" i="54"/>
  <c r="AW61" i="54"/>
  <c r="BA60" i="54"/>
  <c r="BX60" i="54" s="1"/>
  <c r="CA68" i="54" s="1"/>
  <c r="AW60" i="54"/>
  <c r="BW60" i="54" s="1"/>
  <c r="BZ68" i="54" s="1"/>
  <c r="AW62" i="54"/>
  <c r="BW62" i="54"/>
  <c r="BZ66" i="54" s="1"/>
  <c r="BA62" i="54"/>
  <c r="BX62" i="54" s="1"/>
  <c r="CA66" i="54" s="1"/>
  <c r="AW63" i="54"/>
  <c r="AY63" i="54" s="1"/>
  <c r="BA63" i="54"/>
  <c r="AW65" i="54"/>
  <c r="BA65" i="54"/>
  <c r="BP65" i="54" s="1"/>
  <c r="BR63" i="54" s="1"/>
  <c r="AW66" i="54"/>
  <c r="BW66" i="54" s="1"/>
  <c r="BZ62" i="54" s="1"/>
  <c r="BA66" i="54"/>
  <c r="AW67" i="54"/>
  <c r="BW67" i="54" s="1"/>
  <c r="BZ61" i="54" s="1"/>
  <c r="BA67" i="54"/>
  <c r="BC67" i="54" s="1"/>
  <c r="AW68" i="54"/>
  <c r="BW68" i="54" s="1"/>
  <c r="BZ60" i="54" s="1"/>
  <c r="BA68" i="54"/>
  <c r="AU61" i="54"/>
  <c r="BL61" i="54" s="1"/>
  <c r="AU62" i="54"/>
  <c r="BQ62" i="54" s="1"/>
  <c r="BS66" i="54" s="1"/>
  <c r="AU63" i="54"/>
  <c r="BQ63" i="54" s="1"/>
  <c r="BS65" i="54" s="1"/>
  <c r="AU64" i="54"/>
  <c r="BL64" i="54" s="1"/>
  <c r="BN64" i="54" s="1"/>
  <c r="AU60" i="54"/>
  <c r="BQ60" i="54" s="1"/>
  <c r="BS68" i="54" s="1"/>
  <c r="AU65" i="54"/>
  <c r="BV65" i="54" s="1"/>
  <c r="BY63" i="54" s="1"/>
  <c r="AU66" i="54"/>
  <c r="BQ66" i="54" s="1"/>
  <c r="BS62" i="54" s="1"/>
  <c r="AU67" i="54"/>
  <c r="BL67" i="54" s="1"/>
  <c r="BN61" i="54" s="1"/>
  <c r="BQ67" i="54"/>
  <c r="BS61" i="54" s="1"/>
  <c r="AU68" i="54"/>
  <c r="BQ68" i="54" s="1"/>
  <c r="BS60" i="54"/>
  <c r="BD7" i="54"/>
  <c r="BM52" i="54"/>
  <c r="AV6" i="54"/>
  <c r="AV7" i="54" s="1"/>
  <c r="AR7" i="54"/>
  <c r="A54" i="54"/>
  <c r="A55" i="54"/>
  <c r="BK55" i="54"/>
  <c r="BL55" i="54"/>
  <c r="A56" i="54"/>
  <c r="AX56" i="54"/>
  <c r="BK91" i="54"/>
  <c r="BL78" i="54" s="1"/>
  <c r="BN78" i="54" s="1"/>
  <c r="BK88" i="54"/>
  <c r="BK87" i="54"/>
  <c r="BK89" i="54"/>
  <c r="BM93" i="54" s="1"/>
  <c r="BK90" i="54"/>
  <c r="BL77" i="54" s="1"/>
  <c r="BN79" i="54" s="1"/>
  <c r="BM92" i="54"/>
  <c r="BJ86" i="54"/>
  <c r="BK92" i="54"/>
  <c r="BM90" i="54" s="1"/>
  <c r="BK93" i="54"/>
  <c r="BM89" i="54" s="1"/>
  <c r="BK94" i="54"/>
  <c r="BM88" i="54" s="1"/>
  <c r="BK95" i="54"/>
  <c r="BL82" i="54" s="1"/>
  <c r="BM87" i="54"/>
  <c r="BJ96" i="54"/>
  <c r="BK96" i="54" s="1"/>
  <c r="BL88" i="54"/>
  <c r="BN94" i="54" s="1"/>
  <c r="BL91" i="54"/>
  <c r="BN91" i="54" s="1"/>
  <c r="BL92" i="54"/>
  <c r="BN90" i="54" s="1"/>
  <c r="BK79" i="54"/>
  <c r="BM77" i="54" s="1"/>
  <c r="BL93" i="54"/>
  <c r="BK80" i="54" s="1"/>
  <c r="BM76" i="54" s="1"/>
  <c r="BL87" i="54"/>
  <c r="BK74" i="54" s="1"/>
  <c r="BL89" i="54"/>
  <c r="BN93" i="54" s="1"/>
  <c r="BL90" i="54"/>
  <c r="BN92" i="54" s="1"/>
  <c r="BL94" i="54"/>
  <c r="BN88" i="54" s="1"/>
  <c r="BP91" i="54"/>
  <c r="BQ78" i="54" s="1"/>
  <c r="BS78" i="54" s="1"/>
  <c r="BR91" i="54"/>
  <c r="BP88" i="54"/>
  <c r="BR94" i="54" s="1"/>
  <c r="BR96" i="54" s="1"/>
  <c r="BP87" i="54"/>
  <c r="BP89" i="54"/>
  <c r="BR93" i="54" s="1"/>
  <c r="BP90" i="54"/>
  <c r="BR92" i="54" s="1"/>
  <c r="BO86" i="54"/>
  <c r="BP92" i="54"/>
  <c r="BR90" i="54" s="1"/>
  <c r="BP93" i="54"/>
  <c r="BR89" i="54" s="1"/>
  <c r="BP94" i="54"/>
  <c r="BR88" i="54" s="1"/>
  <c r="BP95" i="54"/>
  <c r="BR87" i="54" s="1"/>
  <c r="BR86" i="54" s="1"/>
  <c r="BO96" i="54"/>
  <c r="BQ88" i="54"/>
  <c r="BS94" i="54" s="1"/>
  <c r="BQ91" i="54"/>
  <c r="BP78" i="54" s="1"/>
  <c r="BR78" i="54" s="1"/>
  <c r="BS91" i="54"/>
  <c r="BQ92" i="54"/>
  <c r="BS90" i="54" s="1"/>
  <c r="BQ93" i="54"/>
  <c r="BS89" i="54" s="1"/>
  <c r="BQ87" i="54"/>
  <c r="BQ89" i="54"/>
  <c r="BP76" i="54" s="1"/>
  <c r="BR80" i="54" s="1"/>
  <c r="BQ90" i="54"/>
  <c r="BS92" i="54" s="1"/>
  <c r="BQ94" i="54"/>
  <c r="BS88" i="54" s="1"/>
  <c r="BV60" i="54"/>
  <c r="BY68" i="54" s="1"/>
  <c r="BV68" i="54"/>
  <c r="BY60" i="54" s="1"/>
  <c r="BW63" i="54"/>
  <c r="BZ65" i="54" s="1"/>
  <c r="BX66" i="54"/>
  <c r="CA62" i="54" s="1"/>
  <c r="BA58" i="54"/>
  <c r="AH60" i="54"/>
  <c r="AJ60" i="54"/>
  <c r="BC60" i="54"/>
  <c r="AD61" i="54"/>
  <c r="AF61" i="54"/>
  <c r="AH61" i="54"/>
  <c r="AJ61" i="54"/>
  <c r="BC61" i="54"/>
  <c r="AD62" i="54"/>
  <c r="AF62" i="54"/>
  <c r="AH62" i="54"/>
  <c r="AJ62" i="54"/>
  <c r="AD63" i="54"/>
  <c r="AF63" i="54"/>
  <c r="AH63" i="54"/>
  <c r="AJ63" i="54"/>
  <c r="AD64" i="54"/>
  <c r="AF64" i="54"/>
  <c r="AH64" i="54"/>
  <c r="AJ64" i="54"/>
  <c r="AD65" i="54"/>
  <c r="AF65" i="54"/>
  <c r="AH65" i="54"/>
  <c r="AJ65" i="54"/>
  <c r="AD66" i="54"/>
  <c r="AF66" i="54"/>
  <c r="AH66" i="54"/>
  <c r="AJ66" i="54"/>
  <c r="AD67" i="54"/>
  <c r="AF67" i="54"/>
  <c r="AH67" i="54"/>
  <c r="AJ67" i="54"/>
  <c r="AD68" i="54"/>
  <c r="AF68" i="54"/>
  <c r="AH68" i="54"/>
  <c r="AJ68" i="54"/>
  <c r="BJ73" i="54"/>
  <c r="BL95" i="54"/>
  <c r="BK82" i="54" s="1"/>
  <c r="BJ83" i="54"/>
  <c r="BL81" i="54"/>
  <c r="BN75" i="54" s="1"/>
  <c r="BP74" i="54"/>
  <c r="BR82" i="54" s="1"/>
  <c r="BO73" i="54"/>
  <c r="BQ95" i="54"/>
  <c r="BS87" i="54" s="1"/>
  <c r="BS86" i="54" s="1"/>
  <c r="BO83" i="54"/>
  <c r="BQ75" i="54"/>
  <c r="BS81" i="54" s="1"/>
  <c r="BQ77" i="54"/>
  <c r="BS79" i="54" s="1"/>
  <c r="BQ81" i="54"/>
  <c r="BS75" i="54" s="1"/>
  <c r="BV78" i="54"/>
  <c r="BY78" i="54" s="1"/>
  <c r="BV75" i="54"/>
  <c r="BY81" i="54" s="1"/>
  <c r="BV74" i="54"/>
  <c r="BV76" i="54"/>
  <c r="BY80" i="54" s="1"/>
  <c r="BV77" i="54"/>
  <c r="BY79" i="54" s="1"/>
  <c r="BV79" i="54"/>
  <c r="BV80" i="54"/>
  <c r="BY76" i="54" s="1"/>
  <c r="BV81" i="54"/>
  <c r="BY75" i="54" s="1"/>
  <c r="BV82" i="54"/>
  <c r="BY74" i="54" s="1"/>
  <c r="BY82" i="54"/>
  <c r="BY77" i="54"/>
  <c r="BW75" i="54"/>
  <c r="BZ81" i="54" s="1"/>
  <c r="BW78" i="54"/>
  <c r="BZ78" i="54" s="1"/>
  <c r="BW79" i="54"/>
  <c r="BZ77" i="54" s="1"/>
  <c r="BW80" i="54"/>
  <c r="BZ76" i="54" s="1"/>
  <c r="BW74" i="54"/>
  <c r="BZ82" i="54" s="1"/>
  <c r="BW76" i="54"/>
  <c r="BZ80" i="54" s="1"/>
  <c r="BW77" i="54"/>
  <c r="BZ79" i="54" s="1"/>
  <c r="BW81" i="54"/>
  <c r="BZ75" i="54" s="1"/>
  <c r="BX75" i="54"/>
  <c r="CA81" i="54"/>
  <c r="BX78" i="54"/>
  <c r="CA78" i="54" s="1"/>
  <c r="BX80" i="54"/>
  <c r="CA76" i="54"/>
  <c r="BX74" i="54"/>
  <c r="CA82" i="54" s="1"/>
  <c r="BX76" i="54"/>
  <c r="CA80" i="54" s="1"/>
  <c r="BX77" i="54"/>
  <c r="CA79" i="54" s="1"/>
  <c r="BX79" i="54"/>
  <c r="CA77" i="54" s="1"/>
  <c r="BX81" i="54"/>
  <c r="CA75" i="54" s="1"/>
  <c r="BW82" i="54"/>
  <c r="BZ74" i="54" s="1"/>
  <c r="BX82" i="54"/>
  <c r="CA74" i="54" s="1"/>
  <c r="BP80" i="54"/>
  <c r="BR76" i="54" s="1"/>
  <c r="BS93" i="54"/>
  <c r="AV101" i="54"/>
  <c r="AV102" i="54"/>
  <c r="AV103" i="54"/>
  <c r="A111" i="54"/>
  <c r="B111" i="54"/>
  <c r="G111" i="54" s="1"/>
  <c r="E111" i="54"/>
  <c r="F111" i="54"/>
  <c r="J111" i="54"/>
  <c r="P111" i="54"/>
  <c r="Q111" i="54"/>
  <c r="R111" i="54"/>
  <c r="S111" i="54"/>
  <c r="T111" i="54"/>
  <c r="U111" i="54"/>
  <c r="V111" i="54"/>
  <c r="W111" i="54"/>
  <c r="X111" i="54"/>
  <c r="B113" i="54"/>
  <c r="G113" i="54" s="1"/>
  <c r="A113" i="54"/>
  <c r="F113" i="54"/>
  <c r="O112" i="54"/>
  <c r="P112" i="54"/>
  <c r="Q112" i="54"/>
  <c r="R112" i="54"/>
  <c r="S112" i="54"/>
  <c r="T112" i="54"/>
  <c r="U112" i="54"/>
  <c r="V112" i="54"/>
  <c r="W112" i="54"/>
  <c r="X112" i="54"/>
  <c r="E113" i="54"/>
  <c r="J113" i="54"/>
  <c r="O113" i="54"/>
  <c r="P113" i="54"/>
  <c r="Q113" i="54"/>
  <c r="R113" i="54"/>
  <c r="S113" i="54"/>
  <c r="T113" i="54"/>
  <c r="U113" i="54"/>
  <c r="V113" i="54"/>
  <c r="W113" i="54"/>
  <c r="X113" i="54"/>
  <c r="B115" i="54"/>
  <c r="A115" i="54"/>
  <c r="F115" i="54"/>
  <c r="O114" i="54"/>
  <c r="P114" i="54"/>
  <c r="Q114" i="54"/>
  <c r="R114" i="54"/>
  <c r="S114" i="54"/>
  <c r="T114" i="54"/>
  <c r="U114" i="54"/>
  <c r="V114" i="54"/>
  <c r="W114" i="54"/>
  <c r="X114" i="54"/>
  <c r="E115" i="54"/>
  <c r="J115" i="54"/>
  <c r="O115" i="54"/>
  <c r="P115" i="54"/>
  <c r="Q115" i="54"/>
  <c r="R115" i="54"/>
  <c r="S115" i="54"/>
  <c r="T115" i="54"/>
  <c r="U115" i="54"/>
  <c r="V115" i="54"/>
  <c r="W115" i="54"/>
  <c r="X115" i="54"/>
  <c r="B117" i="54"/>
  <c r="A117" i="54"/>
  <c r="D116" i="54" s="1"/>
  <c r="G117" i="54"/>
  <c r="F117" i="54"/>
  <c r="O116" i="54"/>
  <c r="P116" i="54"/>
  <c r="Q116" i="54"/>
  <c r="R116" i="54"/>
  <c r="S116" i="54"/>
  <c r="T116" i="54"/>
  <c r="U116" i="54"/>
  <c r="V116" i="54"/>
  <c r="W116" i="54"/>
  <c r="X116" i="54"/>
  <c r="E117" i="54"/>
  <c r="J117" i="54"/>
  <c r="O117" i="54"/>
  <c r="P117" i="54"/>
  <c r="Q117" i="54"/>
  <c r="R117" i="54"/>
  <c r="S117" i="54"/>
  <c r="T117" i="54"/>
  <c r="U117" i="54"/>
  <c r="V117" i="54"/>
  <c r="W117" i="54"/>
  <c r="X117" i="54"/>
  <c r="B119" i="54"/>
  <c r="G119" i="54" s="1"/>
  <c r="I118" i="54" s="1"/>
  <c r="A119" i="54"/>
  <c r="F119" i="54"/>
  <c r="O118" i="54"/>
  <c r="P118" i="54"/>
  <c r="Q118" i="54"/>
  <c r="R118" i="54"/>
  <c r="S118" i="54"/>
  <c r="T118" i="54"/>
  <c r="U118" i="54"/>
  <c r="V118" i="54"/>
  <c r="W118" i="54"/>
  <c r="X118" i="54"/>
  <c r="E119" i="54"/>
  <c r="J119" i="54"/>
  <c r="O119" i="54"/>
  <c r="P119" i="54"/>
  <c r="Q119" i="54"/>
  <c r="R119" i="54"/>
  <c r="S119" i="54"/>
  <c r="T119" i="54"/>
  <c r="U119" i="54"/>
  <c r="V119" i="54"/>
  <c r="W119" i="54"/>
  <c r="X119" i="54"/>
  <c r="B121" i="54"/>
  <c r="G121" i="54" s="1"/>
  <c r="A121" i="54"/>
  <c r="F121" i="54"/>
  <c r="O120" i="54"/>
  <c r="P120" i="54"/>
  <c r="Q120" i="54"/>
  <c r="R120" i="54"/>
  <c r="S120" i="54"/>
  <c r="T120" i="54"/>
  <c r="U120" i="54"/>
  <c r="V120" i="54"/>
  <c r="W120" i="54"/>
  <c r="X120" i="54"/>
  <c r="E121" i="54"/>
  <c r="J121" i="54"/>
  <c r="O121" i="54"/>
  <c r="P121" i="54"/>
  <c r="Q121" i="54"/>
  <c r="R121" i="54"/>
  <c r="S121" i="54"/>
  <c r="T121" i="54"/>
  <c r="U121" i="54"/>
  <c r="V121" i="54"/>
  <c r="W121" i="54"/>
  <c r="X121" i="54"/>
  <c r="B123" i="54"/>
  <c r="A123" i="54"/>
  <c r="F123" i="54"/>
  <c r="E123" i="54"/>
  <c r="J123" i="54"/>
  <c r="B125" i="54"/>
  <c r="D124" i="54" s="1"/>
  <c r="A125" i="54"/>
  <c r="F125" i="54"/>
  <c r="E125" i="54"/>
  <c r="J125" i="54"/>
  <c r="B127" i="54"/>
  <c r="D126" i="54" s="1"/>
  <c r="A127" i="54"/>
  <c r="F127" i="54"/>
  <c r="E127" i="54"/>
  <c r="J127" i="54"/>
  <c r="G123" i="54"/>
  <c r="G115" i="54"/>
  <c r="BV66" i="54"/>
  <c r="BY62" i="54" s="1"/>
  <c r="BL66" i="54"/>
  <c r="BN62" i="54" s="1"/>
  <c r="BN67" i="54"/>
  <c r="AY65" i="54"/>
  <c r="BW65" i="54"/>
  <c r="BZ63" i="54"/>
  <c r="G125" i="54"/>
  <c r="D112" i="54"/>
  <c r="BW61" i="54"/>
  <c r="BZ67" i="54"/>
  <c r="AY61" i="54"/>
  <c r="BE61" i="54" s="1"/>
  <c r="G127" i="54"/>
  <c r="BL80" i="54"/>
  <c r="BN76" i="54" s="1"/>
  <c r="AY67" i="54"/>
  <c r="BR95" i="54"/>
  <c r="BQ74" i="54"/>
  <c r="BS82" i="54" s="1"/>
  <c r="BK78" i="54"/>
  <c r="BM78" i="54" s="1"/>
  <c r="BV61" i="54"/>
  <c r="BY67" i="54"/>
  <c r="BP82" i="54"/>
  <c r="BQ65" i="54"/>
  <c r="BS63" i="54" s="1"/>
  <c r="BQ61" i="54"/>
  <c r="BS67" i="54" s="1"/>
  <c r="BP68" i="54"/>
  <c r="BR60" i="54" s="1"/>
  <c r="BX68" i="54"/>
  <c r="CA60" i="54" s="1"/>
  <c r="BC68" i="54"/>
  <c r="BK61" i="54"/>
  <c r="BX61" i="54"/>
  <c r="CA67" i="54" s="1"/>
  <c r="I126" i="54"/>
  <c r="BE67" i="54" l="1"/>
  <c r="BK81" i="54"/>
  <c r="BM75" i="54" s="1"/>
  <c r="BK67" i="54"/>
  <c r="BM61" i="54" s="1"/>
  <c r="BK66" i="54"/>
  <c r="BM62" i="54" s="1"/>
  <c r="AY66" i="54"/>
  <c r="BP79" i="54"/>
  <c r="BR77" i="54" s="1"/>
  <c r="BL79" i="54"/>
  <c r="BN77" i="54" s="1"/>
  <c r="BL65" i="54"/>
  <c r="BN63" i="54" s="1"/>
  <c r="BK77" i="54"/>
  <c r="BM79" i="54" s="1"/>
  <c r="BV63" i="54"/>
  <c r="BY65" i="54" s="1"/>
  <c r="BL63" i="54"/>
  <c r="BN65" i="54" s="1"/>
  <c r="BK62" i="54"/>
  <c r="BM66" i="54" s="1"/>
  <c r="BC62" i="54"/>
  <c r="BL62" i="54"/>
  <c r="BN66" i="54" s="1"/>
  <c r="BQ76" i="54"/>
  <c r="BS80" i="54" s="1"/>
  <c r="BQ86" i="54"/>
  <c r="BP75" i="54"/>
  <c r="BR81" i="54" s="1"/>
  <c r="BK75" i="54"/>
  <c r="BM81" i="54" s="1"/>
  <c r="BP61" i="54"/>
  <c r="BR67" i="54" s="1"/>
  <c r="BP86" i="54"/>
  <c r="BS95" i="54"/>
  <c r="BS96" i="54"/>
  <c r="BN95" i="54"/>
  <c r="BN96" i="54" s="1"/>
  <c r="BP60" i="54"/>
  <c r="AY60" i="54"/>
  <c r="BE60" i="54" s="1"/>
  <c r="BK60" i="54"/>
  <c r="BM68" i="54" s="1"/>
  <c r="BS83" i="54"/>
  <c r="BP73" i="54"/>
  <c r="BF7" i="54"/>
  <c r="AS7" i="54"/>
  <c r="BN74" i="54"/>
  <c r="BN73" i="54" s="1"/>
  <c r="BL83" i="54"/>
  <c r="BM82" i="54"/>
  <c r="BK73" i="54"/>
  <c r="BR83" i="54"/>
  <c r="I122" i="54"/>
  <c r="BQ80" i="54"/>
  <c r="BS76" i="54" s="1"/>
  <c r="BX64" i="54"/>
  <c r="CA64" i="54" s="1"/>
  <c r="BM86" i="54"/>
  <c r="BQ69" i="54"/>
  <c r="BM74" i="54"/>
  <c r="AU11" i="54"/>
  <c r="AU12" i="54" s="1"/>
  <c r="BQ96" i="54"/>
  <c r="D118" i="54"/>
  <c r="I116" i="54"/>
  <c r="BP81" i="54"/>
  <c r="BR75" i="54" s="1"/>
  <c r="BX65" i="54"/>
  <c r="CA63" i="54" s="1"/>
  <c r="BS59" i="54"/>
  <c r="BP77" i="54"/>
  <c r="BR79" i="54" s="1"/>
  <c r="D122" i="54"/>
  <c r="AY68" i="54"/>
  <c r="BE68" i="54" s="1"/>
  <c r="BV67" i="54"/>
  <c r="BY61" i="54" s="1"/>
  <c r="BN89" i="54"/>
  <c r="BL60" i="54"/>
  <c r="D120" i="54"/>
  <c r="BR74" i="54"/>
  <c r="BP66" i="54"/>
  <c r="BR62" i="54" s="1"/>
  <c r="BV62" i="54"/>
  <c r="BY66" i="54" s="1"/>
  <c r="BP62" i="54"/>
  <c r="BR66" i="54" s="1"/>
  <c r="BL76" i="54"/>
  <c r="BN80" i="54" s="1"/>
  <c r="BQ79" i="54"/>
  <c r="BS77" i="54" s="1"/>
  <c r="I112" i="54"/>
  <c r="BL86" i="54"/>
  <c r="I120" i="54"/>
  <c r="AR11" i="54"/>
  <c r="AR12" i="54" s="1"/>
  <c r="D114" i="54"/>
  <c r="AY62" i="54"/>
  <c r="BE62" i="54" s="1"/>
  <c r="BK68" i="54"/>
  <c r="BC64" i="54"/>
  <c r="BQ73" i="54"/>
  <c r="BS69" i="54"/>
  <c r="BK65" i="54"/>
  <c r="BM63" i="54" s="1"/>
  <c r="I114" i="54"/>
  <c r="BN87" i="54"/>
  <c r="BN86" i="54" s="1"/>
  <c r="BQ82" i="54"/>
  <c r="BS74" i="54" s="1"/>
  <c r="BS73" i="54" s="1"/>
  <c r="BC65" i="54"/>
  <c r="BE65" i="54" s="1"/>
  <c r="BX67" i="54"/>
  <c r="CA61" i="54" s="1"/>
  <c r="BQ59" i="54"/>
  <c r="BK86" i="54"/>
  <c r="BM95" i="54"/>
  <c r="BL74" i="54"/>
  <c r="BL96" i="54"/>
  <c r="BM94" i="54"/>
  <c r="BL75" i="54"/>
  <c r="BN81" i="54" s="1"/>
  <c r="O54" i="54"/>
  <c r="AA2" i="54"/>
  <c r="I124" i="54"/>
  <c r="BM67" i="54"/>
  <c r="BP96" i="54"/>
  <c r="BK63" i="54"/>
  <c r="BM65" i="54" s="1"/>
  <c r="BC63" i="54"/>
  <c r="BE63" i="54" s="1"/>
  <c r="BX63" i="54"/>
  <c r="CA65" i="54" s="1"/>
  <c r="BP63" i="54"/>
  <c r="BR65" i="54" s="1"/>
  <c r="BW64" i="54"/>
  <c r="BZ64" i="54" s="1"/>
  <c r="AY64" i="54"/>
  <c r="AA3" i="54"/>
  <c r="AA55" i="54" s="1"/>
  <c r="O55" i="54"/>
  <c r="BK76" i="54"/>
  <c r="BM80" i="54" s="1"/>
  <c r="BM91" i="54"/>
  <c r="BL68" i="54"/>
  <c r="BQ64" i="54"/>
  <c r="BS64" i="54" s="1"/>
  <c r="BP67" i="54"/>
  <c r="BC66" i="54"/>
  <c r="BE66" i="54" s="1"/>
  <c r="BK64" i="54"/>
  <c r="BV64" i="54"/>
  <c r="BY64" i="54" s="1"/>
  <c r="BQ83" i="54" l="1"/>
  <c r="BM73" i="54"/>
  <c r="BN72" i="54" s="1"/>
  <c r="BK83" i="54"/>
  <c r="BK72" i="54" s="1"/>
  <c r="BE64" i="54"/>
  <c r="BM83" i="54"/>
  <c r="BM69" i="54"/>
  <c r="BK59" i="54"/>
  <c r="BP59" i="54"/>
  <c r="BR68" i="54"/>
  <c r="BR69" i="54" s="1"/>
  <c r="BP83" i="54"/>
  <c r="BQ72" i="54" s="1"/>
  <c r="BM60" i="54"/>
  <c r="BM59" i="54" s="1"/>
  <c r="BK69" i="54"/>
  <c r="BL59" i="54"/>
  <c r="BN68" i="54"/>
  <c r="BN69" i="54" s="1"/>
  <c r="BM72" i="54"/>
  <c r="BL71" i="54" s="1"/>
  <c r="BR73" i="54"/>
  <c r="BR72" i="54" s="1"/>
  <c r="BR61" i="54"/>
  <c r="BP69" i="54"/>
  <c r="BQ58" i="54" s="1"/>
  <c r="BL73" i="54"/>
  <c r="BN82" i="54"/>
  <c r="BN83" i="54" s="1"/>
  <c r="BK58" i="54"/>
  <c r="BM64" i="54"/>
  <c r="BN60" i="54"/>
  <c r="BN59" i="54" s="1"/>
  <c r="BL69" i="54"/>
  <c r="BM96" i="54"/>
  <c r="BS72" i="54" l="1"/>
  <c r="BL72" i="54"/>
  <c r="BP58" i="54"/>
  <c r="BP72" i="54"/>
  <c r="BQ71" i="54" s="1"/>
  <c r="BL58" i="54"/>
  <c r="BN58" i="54"/>
  <c r="BM58" i="54"/>
  <c r="BL57" i="54" s="1"/>
  <c r="BR59" i="54"/>
  <c r="BS58" i="54" s="1"/>
  <c r="BM57" i="54" l="1"/>
  <c r="BM85" i="54"/>
  <c r="BL85" i="54"/>
  <c r="BK85" i="54"/>
  <c r="BN85" i="54"/>
  <c r="BR58" i="54"/>
  <c r="BQ57" i="54" s="1"/>
  <c r="BN57" i="54" l="1"/>
  <c r="BQ85" i="54"/>
  <c r="BR85" i="54"/>
  <c r="BP85" i="54"/>
  <c r="BS85" i="54"/>
  <c r="BR57" i="54"/>
  <c r="BM51" i="54"/>
  <c r="AQ6" i="54" s="1"/>
  <c r="BS57" i="54" l="1"/>
  <c r="BV57" i="54"/>
  <c r="AQ7" i="54"/>
  <c r="BY58" i="54" l="1"/>
  <c r="BX58" i="54"/>
  <c r="BV58" i="54"/>
  <c r="BZ72" i="54"/>
  <c r="BV72" i="54"/>
  <c r="BZ58" i="54"/>
  <c r="BW58" i="54"/>
  <c r="BV71" i="54"/>
  <c r="CA58" i="54"/>
  <c r="CA72" i="54"/>
  <c r="BW72" i="54"/>
  <c r="BX72" i="54"/>
  <c r="BY72" i="54"/>
  <c r="BW71" i="54" l="1"/>
  <c r="BX71" i="54"/>
  <c r="BY71" i="54" s="1"/>
  <c r="BX57" i="54"/>
  <c r="BW57" i="54"/>
  <c r="BY57" i="54" l="1"/>
</calcChain>
</file>

<file path=xl/sharedStrings.xml><?xml version="1.0" encoding="utf-8"?>
<sst xmlns="http://schemas.openxmlformats.org/spreadsheetml/2006/main" count="406" uniqueCount="149">
  <si>
    <t>Offset</t>
  </si>
  <si>
    <t>(% WD)</t>
  </si>
  <si>
    <t>Shear</t>
  </si>
  <si>
    <t>(kips)</t>
  </si>
  <si>
    <t>(kip-ft)</t>
  </si>
  <si>
    <t>(deg)</t>
  </si>
  <si>
    <t>Max Lower FJA</t>
  </si>
  <si>
    <t>Mean Lower FJA</t>
  </si>
  <si>
    <t>Max Upper FJA</t>
  </si>
  <si>
    <t>Mean Upper FJA</t>
  </si>
  <si>
    <t>(ksi)</t>
  </si>
  <si>
    <t>(ft)</t>
  </si>
  <si>
    <t>Bending Moment</t>
  </si>
  <si>
    <t>Max Stress Intensity</t>
  </si>
  <si>
    <t>Max Slip                       Joint Stroke</t>
  </si>
  <si>
    <r>
      <t>T</t>
    </r>
    <r>
      <rPr>
        <vertAlign val="subscript"/>
        <sz val="10"/>
        <rFont val="Arial"/>
        <family val="2"/>
      </rPr>
      <t>SR</t>
    </r>
  </si>
  <si>
    <r>
      <t>T</t>
    </r>
    <r>
      <rPr>
        <vertAlign val="subscript"/>
        <sz val="10"/>
        <rFont val="Arial"/>
        <family val="2"/>
      </rPr>
      <t>act</t>
    </r>
  </si>
  <si>
    <r>
      <t>T</t>
    </r>
    <r>
      <rPr>
        <vertAlign val="subscript"/>
        <sz val="10"/>
        <rFont val="Arial"/>
        <family val="2"/>
      </rPr>
      <t>eff</t>
    </r>
  </si>
  <si>
    <t>Tension</t>
  </si>
  <si>
    <t>top</t>
  </si>
  <si>
    <t>Mean at 1%</t>
  </si>
  <si>
    <t>Mean at 2%</t>
  </si>
  <si>
    <t>TSR</t>
  </si>
  <si>
    <t>(%WD)</t>
  </si>
  <si>
    <t>Criteria A / -Offset</t>
  </si>
  <si>
    <t>Criteria A / +Offset</t>
  </si>
  <si>
    <t>Criteria B / +Offset</t>
  </si>
  <si>
    <t>Criteria A:</t>
  </si>
  <si>
    <t>Criteria B:</t>
  </si>
  <si>
    <t>Expected Vessel Offset</t>
  </si>
  <si>
    <t>Neg</t>
  </si>
  <si>
    <t>Pos</t>
  </si>
  <si>
    <t>Intact</t>
  </si>
  <si>
    <t>Damaged</t>
  </si>
  <si>
    <t>MNLA</t>
  </si>
  <si>
    <t>Criteria B / -Offset</t>
  </si>
  <si>
    <t>(ft) (Factor)</t>
  </si>
  <si>
    <t>Criteria:</t>
  </si>
  <si>
    <t xml:space="preserve"> -Offset Direction</t>
  </si>
  <si>
    <t>Water Depth</t>
  </si>
  <si>
    <t>Mud Weight</t>
  </si>
  <si>
    <t>Watch Radius</t>
  </si>
  <si>
    <t>Buckling Tension</t>
  </si>
  <si>
    <t xml:space="preserve">Hs = </t>
  </si>
  <si>
    <t>Recommended Minimum Tension **</t>
  </si>
  <si>
    <t>** Recommended minimum tension based on above performance criteria and meeting stability with one tensioner down.</t>
  </si>
  <si>
    <t>Stability Minimum</t>
  </si>
  <si>
    <t>Performance Minimum</t>
  </si>
  <si>
    <t>Sig. Dyn Stress Range</t>
  </si>
  <si>
    <t>Max Tension                   (No Tensioners Down)</t>
  </si>
  <si>
    <t>DERP Summary Input Control - Drilling Riser</t>
  </si>
  <si>
    <t>Rig / Project Name</t>
  </si>
  <si>
    <t>ft</t>
  </si>
  <si>
    <t>Maximum Allowable Tension</t>
  </si>
  <si>
    <t>kips</t>
  </si>
  <si>
    <t>Number of Tensioners</t>
  </si>
  <si>
    <t>Riser Pipe Yield Stress</t>
  </si>
  <si>
    <t>ksi</t>
  </si>
  <si>
    <t>Riser Structure FOS</t>
  </si>
  <si>
    <t>Starting Mud Weight</t>
  </si>
  <si>
    <t>Ending Mud Weight</t>
  </si>
  <si>
    <t>Mud Weight Increment</t>
  </si>
  <si>
    <t>Starting Storm Number</t>
  </si>
  <si>
    <t>Ending Storm Number</t>
  </si>
  <si>
    <t>Allowable Bending Moment at Bottom Joint</t>
  </si>
  <si>
    <t>kips-ft</t>
  </si>
  <si>
    <t>Allowable Shear Force at Bottom Joint</t>
  </si>
  <si>
    <t>Mean Lower Joint Angle 1</t>
  </si>
  <si>
    <t>°</t>
  </si>
  <si>
    <t>Mean Lower Joint Angle 2</t>
  </si>
  <si>
    <t>Mean Upper Joint Angle 1</t>
  </si>
  <si>
    <t>Mean Upper Joint Angle 2</t>
  </si>
  <si>
    <t>Allowable Stress Intensity</t>
  </si>
  <si>
    <t>Riser Stress Amplification Factor</t>
  </si>
  <si>
    <t>Allowable Stroke Extension</t>
  </si>
  <si>
    <t>Maximum Lower Joint Angle 1</t>
  </si>
  <si>
    <t>Maximum Lower Joint Angle 2</t>
  </si>
  <si>
    <t>Maximum Upper Joint Angle 1</t>
  </si>
  <si>
    <t>Maximum Upper Joint Angle 2</t>
  </si>
  <si>
    <t>Mudweight</t>
  </si>
  <si>
    <t>Wt of SR</t>
  </si>
  <si>
    <t>topten</t>
  </si>
  <si>
    <t>radius</t>
  </si>
  <si>
    <t>topten (no winching)</t>
  </si>
  <si>
    <t>topten (winching)</t>
  </si>
  <si>
    <t>radius (winching)</t>
  </si>
  <si>
    <t>Connectable</t>
  </si>
  <si>
    <t>Evironment</t>
  </si>
  <si>
    <t>A</t>
  </si>
  <si>
    <t>Desc.</t>
  </si>
  <si>
    <t>Current Vel (kt)</t>
  </si>
  <si>
    <t>1-Year Storm, Wave &amp; Current from S Direction</t>
  </si>
  <si>
    <t>Noble Leo Segerius Drillship (Alum)</t>
  </si>
  <si>
    <t>Noble Leo Segerius Drillship (Alum) / Riser Analysis Detailed Results</t>
  </si>
  <si>
    <t>Noble Leo Segerius Drillship (Alum) / Global Performance Summary</t>
  </si>
  <si>
    <t>3799 ft Water Depth / 1-Year Storm, Wave &amp; Current from S Direction / RWF=1.00,BRF=0.96</t>
  </si>
  <si>
    <t>3.13 knot Surface Current / Hs = 18.7 ft *</t>
  </si>
  <si>
    <t>MXUA</t>
  </si>
  <si>
    <t>3.13 knot Surface Current /  Mud Weight = 9 PPG / 12 x 80 kips</t>
  </si>
  <si>
    <t>Max Upper FJA -</t>
  </si>
  <si>
    <t>Max Upper FJA +</t>
  </si>
  <si>
    <t>Rf</t>
  </si>
  <si>
    <t>Rdtl</t>
  </si>
  <si>
    <t>number down</t>
  </si>
  <si>
    <t>2) 4deg Max Upper Ball and 4deg Max Lower Flex-Joint Angle</t>
  </si>
  <si>
    <t>* For more extreme conditions, consult operations manual, home office, or Genesis Engineering LLC</t>
  </si>
  <si>
    <t>Minimum Tsr</t>
  </si>
  <si>
    <t>B</t>
  </si>
  <si>
    <t>C</t>
  </si>
  <si>
    <t>D</t>
  </si>
  <si>
    <t>E</t>
  </si>
  <si>
    <t>Max BMR</t>
  </si>
  <si>
    <t>Required Tmin</t>
  </si>
  <si>
    <t>Available Tension</t>
  </si>
  <si>
    <t>TSR max</t>
  </si>
  <si>
    <t>Limiting Offset</t>
  </si>
  <si>
    <t>limiting offset</t>
  </si>
  <si>
    <t>Min Offset</t>
  </si>
  <si>
    <t>Max Offset</t>
  </si>
  <si>
    <t>TSRmin for Buckling</t>
  </si>
  <si>
    <t>TSRmin for ERD</t>
  </si>
  <si>
    <t>Tmin for Buckling</t>
  </si>
  <si>
    <t>Tmin for ERD</t>
  </si>
  <si>
    <t>Heave</t>
  </si>
  <si>
    <t>BMWC</t>
  </si>
  <si>
    <t>SI</t>
  </si>
  <si>
    <t>1) 2deg Mean Upper Ball and Mean Lower Flex-Joint Angle</t>
  </si>
  <si>
    <t>3) Allowable Stress = 53.3 ksi for Riser Joints</t>
  </si>
  <si>
    <t xml:space="preserve">4) BM FOS = 1.5 for Wellhead and Casings </t>
  </si>
  <si>
    <t>1) 6 deg Mean Upper Ball and 6deg Mean Lower Flex-Joint Angle</t>
  </si>
  <si>
    <t>2) 6 deg Max Upper Ball and 6deg Max Lower Flex-Joint Angle</t>
  </si>
  <si>
    <t>NOBLE BULLY I Drillship</t>
  </si>
  <si>
    <t>1-Year Winter Storm</t>
  </si>
  <si>
    <t>Max TSR Limited by PEL</t>
  </si>
  <si>
    <t>Max Tension Limited by PEL</t>
  </si>
  <si>
    <t>10-Year Winter Storm</t>
  </si>
  <si>
    <t>99% Winter Storm</t>
  </si>
  <si>
    <t>10-Year Loop Current</t>
  </si>
  <si>
    <t>1-Year Loop Current</t>
  </si>
  <si>
    <t>PARAGON DPDS3 Drillship (Alum) / Riser Analysis Detailed Results</t>
  </si>
  <si>
    <t>1099.1 ft Water Depth / 0.5-Year South Current w/ 0.5-Year SW Waves / RWF=1.00,BRF=0.96</t>
  </si>
  <si>
    <t>2.69 knot Surface Current /  Mud Weight = 11 PPG / 8 x 120 kips + 4 x 80 kips</t>
  </si>
  <si>
    <t>PARAGON DPDS3 Drillship (Alum)</t>
  </si>
  <si>
    <t>PARAGON DPDS3 Drillship (Alum) / Global Performance Summary</t>
  </si>
  <si>
    <t>0.5-Year South Current w/ 0.5-Year SW Waves</t>
  </si>
  <si>
    <t>2.69 knot Surface Current / Hs = 20.12 ft *</t>
  </si>
  <si>
    <t>1) 4.5 deg Mean Upper Ball and 6.75deg Mean Lower Flex-Joint Angle</t>
  </si>
  <si>
    <t>2) 4.5 deg Max Upper Ball and 6.75deg Max Lower Flex-Joint Angle</t>
  </si>
  <si>
    <t>3) Allowable Stress = 19.3 ksi for Riser Joints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</si>
</sst>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\ &quot;% WD&quot;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9"/>
      <color indexed="10"/>
      <name val="Arial"/>
      <family val="2"/>
    </font>
    <font>
      <i/>
      <sz val="10"/>
      <name val="Arial"/>
      <family val="2"/>
    </font>
    <font>
      <b/>
      <sz val="12"/>
      <color indexed="12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1" fillId="0" borderId="0"/>
  </cellStyleXfs>
  <cellXfs count="416">
    <xf numFmtId="0" fontId="0" fillId="0" borderId="0" xfId="0"/>
    <xf numFmtId="0" fontId="3" fillId="0" borderId="0" xfId="0" applyFont="1"/>
    <xf numFmtId="0" fontId="2" fillId="0" borderId="0" xfId="0" applyFont="1" applyBorder="1"/>
    <xf numFmtId="0" fontId="3" fillId="0" borderId="0" xfId="0" applyFont="1" applyBorder="1"/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Protection="1">
      <protection locked="0"/>
    </xf>
    <xf numFmtId="2" fontId="3" fillId="0" borderId="0" xfId="0" applyNumberFormat="1" applyFont="1" applyProtection="1">
      <protection locked="0"/>
    </xf>
    <xf numFmtId="2" fontId="2" fillId="0" borderId="0" xfId="0" applyNumberFormat="1" applyFont="1" applyBorder="1" applyProtection="1">
      <protection locked="0"/>
    </xf>
    <xf numFmtId="2" fontId="3" fillId="0" borderId="0" xfId="0" applyNumberFormat="1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2" fillId="0" borderId="0" xfId="0" applyFont="1" applyBorder="1" applyProtection="1">
      <protection locked="0"/>
    </xf>
    <xf numFmtId="2" fontId="4" fillId="0" borderId="0" xfId="0" applyNumberFormat="1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  <xf numFmtId="2" fontId="5" fillId="0" borderId="3" xfId="0" applyNumberFormat="1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1" fontId="5" fillId="0" borderId="4" xfId="0" applyNumberFormat="1" applyFont="1" applyBorder="1" applyAlignment="1" applyProtection="1">
      <alignment horizontal="center" vertical="center"/>
      <protection locked="0"/>
    </xf>
    <xf numFmtId="1" fontId="5" fillId="0" borderId="5" xfId="0" applyNumberFormat="1" applyFont="1" applyBorder="1" applyAlignment="1" applyProtection="1">
      <alignment horizontal="center" vertical="center"/>
      <protection locked="0"/>
    </xf>
    <xf numFmtId="164" fontId="5" fillId="0" borderId="4" xfId="0" applyNumberFormat="1" applyFont="1" applyBorder="1" applyAlignment="1" applyProtection="1">
      <alignment horizontal="center" vertical="center"/>
      <protection locked="0"/>
    </xf>
    <xf numFmtId="164" fontId="5" fillId="0" borderId="5" xfId="0" applyNumberFormat="1" applyFont="1" applyBorder="1" applyAlignment="1" applyProtection="1">
      <alignment horizontal="center" vertical="center"/>
      <protection locked="0"/>
    </xf>
    <xf numFmtId="2" fontId="5" fillId="0" borderId="4" xfId="0" applyNumberFormat="1" applyFont="1" applyBorder="1" applyAlignment="1" applyProtection="1">
      <alignment horizontal="center" vertical="center"/>
      <protection locked="0"/>
    </xf>
    <xf numFmtId="2" fontId="5" fillId="0" borderId="5" xfId="0" applyNumberFormat="1" applyFont="1" applyBorder="1" applyAlignment="1" applyProtection="1">
      <alignment horizontal="center" vertical="center"/>
      <protection locked="0"/>
    </xf>
    <xf numFmtId="2" fontId="3" fillId="0" borderId="0" xfId="0" applyNumberFormat="1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1" fontId="5" fillId="0" borderId="6" xfId="0" applyNumberFormat="1" applyFont="1" applyBorder="1" applyAlignment="1" applyProtection="1">
      <alignment horizontal="center" vertical="center"/>
      <protection locked="0"/>
    </xf>
    <xf numFmtId="1" fontId="5" fillId="0" borderId="7" xfId="0" applyNumberFormat="1" applyFont="1" applyBorder="1" applyAlignment="1" applyProtection="1">
      <alignment horizontal="center" vertical="center"/>
      <protection locked="0"/>
    </xf>
    <xf numFmtId="164" fontId="5" fillId="0" borderId="6" xfId="0" applyNumberFormat="1" applyFont="1" applyBorder="1" applyAlignment="1" applyProtection="1">
      <alignment horizontal="center" vertical="center"/>
      <protection locked="0"/>
    </xf>
    <xf numFmtId="164" fontId="5" fillId="0" borderId="7" xfId="0" applyNumberFormat="1" applyFont="1" applyBorder="1" applyAlignment="1" applyProtection="1">
      <alignment horizontal="center" vertical="center"/>
      <protection locked="0"/>
    </xf>
    <xf numFmtId="2" fontId="5" fillId="0" borderId="6" xfId="0" applyNumberFormat="1" applyFont="1" applyBorder="1" applyAlignment="1" applyProtection="1">
      <alignment horizontal="center" vertical="center"/>
      <protection locked="0"/>
    </xf>
    <xf numFmtId="2" fontId="5" fillId="0" borderId="7" xfId="0" applyNumberFormat="1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1" fontId="5" fillId="0" borderId="2" xfId="0" applyNumberFormat="1" applyFont="1" applyBorder="1" applyAlignment="1" applyProtection="1">
      <alignment horizontal="center" vertical="center"/>
      <protection locked="0"/>
    </xf>
    <xf numFmtId="1" fontId="5" fillId="0" borderId="3" xfId="0" applyNumberFormat="1" applyFont="1" applyBorder="1" applyAlignment="1" applyProtection="1">
      <alignment horizontal="center" vertical="center"/>
      <protection locked="0"/>
    </xf>
    <xf numFmtId="164" fontId="5" fillId="0" borderId="2" xfId="0" applyNumberFormat="1" applyFont="1" applyBorder="1" applyAlignment="1" applyProtection="1">
      <alignment horizontal="center" vertical="center"/>
      <protection locked="0"/>
    </xf>
    <xf numFmtId="164" fontId="5" fillId="0" borderId="3" xfId="0" applyNumberFormat="1" applyFont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 applyProtection="1">
      <alignment horizontal="center" vertical="center"/>
      <protection locked="0"/>
    </xf>
    <xf numFmtId="2" fontId="5" fillId="0" borderId="3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64" fontId="5" fillId="0" borderId="2" xfId="0" applyNumberFormat="1" applyFont="1" applyBorder="1" applyAlignment="1" applyProtection="1">
      <alignment horizontal="center" vertical="center" wrapText="1"/>
      <protection locked="0"/>
    </xf>
    <xf numFmtId="164" fontId="5" fillId="0" borderId="6" xfId="0" applyNumberFormat="1" applyFont="1" applyBorder="1" applyAlignment="1" applyProtection="1">
      <alignment horizontal="center"/>
      <protection locked="0"/>
    </xf>
    <xf numFmtId="164" fontId="5" fillId="0" borderId="7" xfId="0" applyNumberFormat="1" applyFont="1" applyBorder="1" applyAlignment="1" applyProtection="1">
      <alignment horizontal="center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7" xfId="0" applyFont="1" applyBorder="1" applyAlignment="1" applyProtection="1">
      <alignment horizontal="center"/>
      <protection locked="0"/>
    </xf>
    <xf numFmtId="1" fontId="5" fillId="0" borderId="2" xfId="0" applyNumberFormat="1" applyFont="1" applyBorder="1" applyAlignment="1" applyProtection="1">
      <alignment horizontal="center"/>
      <protection locked="0"/>
    </xf>
    <xf numFmtId="1" fontId="5" fillId="0" borderId="3" xfId="0" applyNumberFormat="1" applyFont="1" applyBorder="1" applyAlignment="1" applyProtection="1">
      <alignment horizontal="center"/>
      <protection locked="0"/>
    </xf>
    <xf numFmtId="164" fontId="5" fillId="0" borderId="2" xfId="0" applyNumberFormat="1" applyFont="1" applyBorder="1" applyAlignment="1" applyProtection="1">
      <alignment horizontal="center"/>
      <protection locked="0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2" fontId="5" fillId="0" borderId="3" xfId="0" applyNumberFormat="1" applyFont="1" applyBorder="1" applyAlignment="1" applyProtection="1">
      <alignment horizontal="center"/>
      <protection locked="0"/>
    </xf>
    <xf numFmtId="2" fontId="5" fillId="0" borderId="7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3" fillId="0" borderId="0" xfId="0" applyNumberFormat="1" applyFont="1"/>
    <xf numFmtId="164" fontId="3" fillId="0" borderId="0" xfId="0" applyNumberFormat="1" applyFont="1"/>
    <xf numFmtId="164" fontId="5" fillId="0" borderId="1" xfId="0" applyNumberFormat="1" applyFont="1" applyBorder="1" applyAlignment="1" applyProtection="1">
      <alignment horizontal="center" vertical="center" wrapText="1"/>
      <protection locked="0"/>
    </xf>
    <xf numFmtId="164" fontId="3" fillId="0" borderId="0" xfId="0" applyNumberFormat="1" applyFont="1" applyBorder="1" applyAlignment="1" applyProtection="1">
      <alignment horizontal="center" vertical="center"/>
      <protection locked="0"/>
    </xf>
    <xf numFmtId="164" fontId="3" fillId="0" borderId="0" xfId="0" applyNumberFormat="1" applyFont="1" applyBorder="1" applyProtection="1">
      <protection locked="0"/>
    </xf>
    <xf numFmtId="164" fontId="2" fillId="0" borderId="0" xfId="0" applyNumberFormat="1" applyFont="1" applyBorder="1" applyProtection="1"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2" fontId="5" fillId="0" borderId="8" xfId="0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165" fontId="9" fillId="0" borderId="0" xfId="0" applyNumberFormat="1" applyFont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165" fontId="5" fillId="0" borderId="0" xfId="0" applyNumberFormat="1" applyFont="1" applyProtection="1">
      <protection locked="0"/>
    </xf>
    <xf numFmtId="166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vertical="center"/>
    </xf>
    <xf numFmtId="166" fontId="5" fillId="0" borderId="12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vertical="center"/>
      <protection locked="0"/>
    </xf>
    <xf numFmtId="166" fontId="5" fillId="0" borderId="12" xfId="0" applyNumberFormat="1" applyFont="1" applyBorder="1" applyAlignment="1" applyProtection="1">
      <alignment vertical="center"/>
      <protection locked="0"/>
    </xf>
    <xf numFmtId="166" fontId="5" fillId="0" borderId="12" xfId="0" applyNumberFormat="1" applyFont="1" applyBorder="1" applyProtection="1">
      <protection locked="0"/>
    </xf>
    <xf numFmtId="166" fontId="5" fillId="0" borderId="1" xfId="0" applyNumberFormat="1" applyFont="1" applyBorder="1" applyProtection="1">
      <protection locked="0"/>
    </xf>
    <xf numFmtId="2" fontId="9" fillId="0" borderId="0" xfId="0" applyNumberFormat="1" applyFont="1" applyBorder="1" applyAlignment="1" applyProtection="1">
      <alignment vertical="center"/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2" fontId="10" fillId="0" borderId="0" xfId="0" applyNumberFormat="1" applyFont="1" applyBorder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vertical="center"/>
      <protection locked="0"/>
    </xf>
    <xf numFmtId="2" fontId="11" fillId="0" borderId="0" xfId="0" applyNumberFormat="1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4" fillId="0" borderId="0" xfId="0" applyFont="1"/>
    <xf numFmtId="0" fontId="14" fillId="0" borderId="0" xfId="0" applyFont="1" applyAlignment="1">
      <alignment vertical="center"/>
    </xf>
    <xf numFmtId="0" fontId="14" fillId="0" borderId="0" xfId="0" applyFont="1" applyProtection="1">
      <protection locked="0"/>
    </xf>
    <xf numFmtId="0" fontId="3" fillId="0" borderId="0" xfId="0" applyFont="1" applyAlignment="1">
      <alignment horizontal="center"/>
    </xf>
    <xf numFmtId="0" fontId="14" fillId="0" borderId="0" xfId="0" applyFont="1" applyAlignment="1" applyProtection="1">
      <alignment horizontal="center"/>
      <protection locked="0"/>
    </xf>
    <xf numFmtId="1" fontId="3" fillId="0" borderId="0" xfId="0" applyNumberFormat="1" applyFont="1" applyAlignment="1">
      <alignment vertical="center"/>
    </xf>
    <xf numFmtId="0" fontId="15" fillId="0" borderId="0" xfId="0" applyFont="1"/>
    <xf numFmtId="0" fontId="3" fillId="2" borderId="0" xfId="0" applyFont="1" applyFill="1"/>
    <xf numFmtId="2" fontId="3" fillId="2" borderId="0" xfId="0" applyNumberFormat="1" applyFont="1" applyFill="1" applyAlignment="1">
      <alignment vertical="center"/>
    </xf>
    <xf numFmtId="0" fontId="2" fillId="2" borderId="0" xfId="0" applyFont="1" applyFill="1"/>
    <xf numFmtId="2" fontId="2" fillId="2" borderId="0" xfId="0" applyNumberFormat="1" applyFont="1" applyFill="1"/>
    <xf numFmtId="1" fontId="2" fillId="2" borderId="0" xfId="0" applyNumberFormat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16" fillId="0" borderId="0" xfId="0" applyNumberFormat="1" applyFont="1" applyAlignment="1" applyProtection="1">
      <alignment vertical="center"/>
      <protection locked="0"/>
    </xf>
    <xf numFmtId="2" fontId="14" fillId="2" borderId="0" xfId="0" applyNumberFormat="1" applyFont="1" applyFill="1" applyProtection="1"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2" fontId="5" fillId="0" borderId="14" xfId="0" applyNumberFormat="1" applyFont="1" applyBorder="1" applyAlignment="1" applyProtection="1">
      <alignment horizontal="center" vertical="center"/>
      <protection locked="0"/>
    </xf>
    <xf numFmtId="2" fontId="5" fillId="0" borderId="15" xfId="0" applyNumberFormat="1" applyFont="1" applyBorder="1" applyAlignment="1" applyProtection="1">
      <alignment horizontal="center" vertical="center"/>
      <protection locked="0"/>
    </xf>
    <xf numFmtId="2" fontId="5" fillId="0" borderId="13" xfId="0" applyNumberFormat="1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5" fillId="0" borderId="0" xfId="0" applyFont="1"/>
    <xf numFmtId="164" fontId="0" fillId="0" borderId="0" xfId="0" applyNumberFormat="1"/>
    <xf numFmtId="164" fontId="0" fillId="0" borderId="0" xfId="0" applyNumberFormat="1" applyAlignment="1"/>
    <xf numFmtId="164" fontId="5" fillId="0" borderId="0" xfId="0" applyNumberFormat="1" applyFont="1" applyAlignment="1">
      <alignment wrapText="1"/>
    </xf>
    <xf numFmtId="1" fontId="0" fillId="0" borderId="0" xfId="0" applyNumberFormat="1" applyAlignment="1">
      <alignment horizontal="center"/>
    </xf>
    <xf numFmtId="0" fontId="3" fillId="0" borderId="0" xfId="0" applyFont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/>
    <xf numFmtId="0" fontId="0" fillId="3" borderId="0" xfId="0" applyFill="1" applyBorder="1" applyAlignment="1">
      <alignment horizontal="center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 applyProtection="1">
      <alignment vertical="center"/>
      <protection locked="0"/>
    </xf>
    <xf numFmtId="2" fontId="0" fillId="3" borderId="9" xfId="0" applyNumberFormat="1" applyFill="1" applyBorder="1" applyAlignment="1">
      <alignment horizontal="center" vertical="center" wrapText="1"/>
    </xf>
    <xf numFmtId="2" fontId="0" fillId="3" borderId="10" xfId="0" applyNumberFormat="1" applyFill="1" applyBorder="1" applyAlignment="1">
      <alignment horizontal="center" vertical="center" wrapText="1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1" fontId="0" fillId="3" borderId="7" xfId="0" applyNumberFormat="1" applyFill="1" applyBorder="1" applyAlignment="1" applyProtection="1">
      <alignment horizontal="center" vertical="center"/>
      <protection locked="0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3" xfId="0" applyNumberFormat="1" applyFill="1" applyBorder="1" applyAlignment="1" applyProtection="1">
      <alignment horizontal="center" vertical="center"/>
      <protection locked="0"/>
    </xf>
    <xf numFmtId="0" fontId="17" fillId="0" borderId="0" xfId="0" applyFont="1"/>
    <xf numFmtId="0" fontId="4" fillId="0" borderId="0" xfId="0" applyFont="1"/>
    <xf numFmtId="2" fontId="18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0" fontId="5" fillId="0" borderId="0" xfId="0" applyFont="1" applyFill="1"/>
    <xf numFmtId="0" fontId="3" fillId="0" borderId="0" xfId="0" applyFont="1" applyAlignment="1">
      <alignment horizontal="right" vertical="center"/>
    </xf>
    <xf numFmtId="0" fontId="9" fillId="0" borderId="0" xfId="0" applyFont="1"/>
    <xf numFmtId="0" fontId="0" fillId="4" borderId="0" xfId="0" applyFill="1"/>
    <xf numFmtId="0" fontId="17" fillId="5" borderId="0" xfId="0" applyFont="1" applyFill="1"/>
    <xf numFmtId="1" fontId="0" fillId="0" borderId="0" xfId="0" applyNumberFormat="1"/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3" fillId="3" borderId="0" xfId="0" applyFont="1" applyFill="1" applyAlignment="1">
      <alignment horizontal="center"/>
    </xf>
    <xf numFmtId="2" fontId="0" fillId="3" borderId="9" xfId="0" applyNumberFormat="1" applyFill="1" applyBorder="1" applyAlignment="1">
      <alignment horizontal="center" vertical="center" wrapText="1"/>
    </xf>
    <xf numFmtId="2" fontId="0" fillId="3" borderId="18" xfId="0" applyNumberFormat="1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center" vertical="center" wrapText="1"/>
    </xf>
    <xf numFmtId="2" fontId="0" fillId="3" borderId="3" xfId="0" applyNumberFormat="1" applyFill="1" applyBorder="1" applyAlignment="1">
      <alignment horizontal="center" vertical="center" wrapText="1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1" fontId="0" fillId="3" borderId="17" xfId="0" applyNumberFormat="1" applyFill="1" applyBorder="1" applyAlignment="1" applyProtection="1">
      <alignment horizontal="center" vertical="center"/>
      <protection locked="0"/>
    </xf>
    <xf numFmtId="1" fontId="0" fillId="3" borderId="5" xfId="0" applyNumberFormat="1" applyFill="1" applyBorder="1" applyAlignment="1" applyProtection="1">
      <alignment horizontal="center" vertical="center"/>
      <protection locked="0"/>
    </xf>
    <xf numFmtId="0" fontId="3" fillId="3" borderId="1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3" borderId="10" xfId="0" applyNumberFormat="1" applyFill="1" applyBorder="1" applyAlignment="1">
      <alignment horizontal="center" vertical="center" wrapText="1"/>
    </xf>
    <xf numFmtId="1" fontId="0" fillId="3" borderId="0" xfId="0" applyNumberFormat="1" applyFill="1" applyBorder="1" applyAlignment="1" applyProtection="1">
      <alignment horizontal="center" vertical="center"/>
      <protection locked="0"/>
    </xf>
    <xf numFmtId="1" fontId="0" fillId="3" borderId="7" xfId="0" applyNumberFormat="1" applyFill="1" applyBorder="1" applyAlignment="1" applyProtection="1">
      <alignment horizontal="center" vertical="center"/>
      <protection locked="0"/>
    </xf>
    <xf numFmtId="2" fontId="0" fillId="3" borderId="11" xfId="0" applyNumberFormat="1" applyFill="1" applyBorder="1" applyAlignment="1" applyProtection="1">
      <alignment horizontal="center" vertical="center"/>
      <protection locked="0"/>
    </xf>
    <xf numFmtId="2" fontId="0" fillId="3" borderId="17" xfId="0" applyNumberFormat="1" applyFill="1" applyBorder="1" applyAlignment="1" applyProtection="1">
      <alignment horizontal="center" vertical="center"/>
      <protection locked="0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2" fontId="0" fillId="3" borderId="0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2" fontId="5" fillId="0" borderId="14" xfId="0" applyNumberFormat="1" applyFont="1" applyBorder="1" applyAlignment="1" applyProtection="1">
      <alignment horizontal="center" vertical="center" wrapText="1"/>
      <protection locked="0"/>
    </xf>
    <xf numFmtId="2" fontId="5" fillId="0" borderId="15" xfId="0" applyNumberFormat="1" applyFont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2" fontId="5" fillId="0" borderId="5" xfId="0" applyNumberFormat="1" applyFont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 applyProtection="1">
      <alignment horizontal="center" vertical="center" wrapText="1"/>
      <protection locked="0"/>
    </xf>
    <xf numFmtId="2" fontId="3" fillId="0" borderId="12" xfId="0" applyNumberFormat="1" applyFont="1" applyBorder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164" fontId="5" fillId="0" borderId="11" xfId="0" applyNumberFormat="1" applyFont="1" applyBorder="1" applyAlignment="1" applyProtection="1">
      <alignment horizontal="center" vertical="center" wrapText="1"/>
      <protection locked="0"/>
    </xf>
    <xf numFmtId="164" fontId="5" fillId="0" borderId="12" xfId="0" applyNumberFormat="1" applyFont="1" applyBorder="1" applyAlignment="1" applyProtection="1">
      <alignment horizontal="center" vertical="center" wrapText="1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5" fillId="0" borderId="15" xfId="0" applyFont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 applyProtection="1">
      <alignment horizontal="center"/>
      <protection locked="0"/>
    </xf>
    <xf numFmtId="0" fontId="6" fillId="3" borderId="16" xfId="0" applyFont="1" applyFill="1" applyBorder="1" applyAlignment="1" applyProtection="1">
      <alignment horizontal="center"/>
      <protection locked="0"/>
    </xf>
    <xf numFmtId="0" fontId="6" fillId="3" borderId="3" xfId="0" applyFont="1" applyFill="1" applyBorder="1" applyAlignment="1" applyProtection="1">
      <alignment horizontal="center"/>
      <protection locked="0"/>
    </xf>
    <xf numFmtId="0" fontId="3" fillId="3" borderId="0" xfId="0" applyFont="1" applyFill="1"/>
    <xf numFmtId="0" fontId="6" fillId="3" borderId="11" xfId="0" applyFont="1" applyFill="1" applyBorder="1" applyAlignment="1" applyProtection="1">
      <alignment horizontal="center"/>
      <protection locked="0"/>
    </xf>
    <xf numFmtId="0" fontId="6" fillId="3" borderId="17" xfId="0" applyFont="1" applyFill="1" applyBorder="1" applyAlignment="1" applyProtection="1">
      <alignment horizontal="center"/>
      <protection locked="0"/>
    </xf>
    <xf numFmtId="0" fontId="6" fillId="3" borderId="5" xfId="0" applyFont="1" applyFill="1" applyBorder="1" applyAlignment="1" applyProtection="1">
      <alignment horizont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13" fillId="3" borderId="16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" fontId="0" fillId="3" borderId="16" xfId="0" applyNumberFormat="1" applyFill="1" applyBorder="1" applyAlignment="1" applyProtection="1">
      <alignment horizontal="center" vertical="center"/>
      <protection locked="0"/>
    </xf>
    <xf numFmtId="1" fontId="0" fillId="3" borderId="3" xfId="0" applyNumberFormat="1" applyFill="1" applyBorder="1" applyAlignment="1" applyProtection="1">
      <alignment horizontal="center" vertical="center"/>
      <protection locked="0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2" fontId="0" fillId="3" borderId="16" xfId="0" applyNumberForma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2" fontId="0" fillId="3" borderId="11" xfId="0" applyNumberFormat="1" applyFill="1" applyBorder="1" applyAlignment="1">
      <alignment horizontal="center" vertical="center" wrapText="1"/>
    </xf>
    <xf numFmtId="2" fontId="0" fillId="3" borderId="5" xfId="0" applyNumberFormat="1" applyFill="1" applyBorder="1" applyAlignment="1">
      <alignment horizontal="center" vertical="center" wrapText="1"/>
    </xf>
    <xf numFmtId="0" fontId="3" fillId="0" borderId="0" xfId="0" applyFont="1" applyBorder="1"/>
    <xf numFmtId="2" fontId="4" fillId="0" borderId="0" xfId="0" applyNumberFormat="1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left" vertical="center" wrapText="1"/>
      <protection locked="0"/>
    </xf>
    <xf numFmtId="0" fontId="3" fillId="0" borderId="0" xfId="1" applyFont="1" applyProtection="1">
      <protection locked="0"/>
    </xf>
    <xf numFmtId="2" fontId="3" fillId="0" borderId="0" xfId="1" applyNumberFormat="1" applyFont="1" applyProtection="1">
      <protection locked="0"/>
    </xf>
    <xf numFmtId="0" fontId="14" fillId="0" borderId="0" xfId="1" applyFont="1" applyProtection="1">
      <protection locked="0"/>
    </xf>
    <xf numFmtId="0" fontId="6" fillId="0" borderId="0" xfId="1" applyFont="1" applyAlignment="1" applyProtection="1">
      <alignment horizontal="center"/>
      <protection locked="0"/>
    </xf>
    <xf numFmtId="0" fontId="3" fillId="0" borderId="0" xfId="1" applyFont="1" applyBorder="1" applyProtection="1">
      <protection locked="0"/>
    </xf>
    <xf numFmtId="0" fontId="6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4" fillId="0" borderId="0" xfId="1" applyFont="1" applyBorder="1" applyAlignment="1" applyProtection="1">
      <alignment horizontal="center"/>
      <protection locked="0"/>
    </xf>
    <xf numFmtId="0" fontId="3" fillId="0" borderId="0" xfId="1" applyFont="1"/>
    <xf numFmtId="2" fontId="4" fillId="0" borderId="0" xfId="1" applyNumberFormat="1" applyFont="1" applyBorder="1" applyAlignment="1" applyProtection="1">
      <alignment horizontal="center"/>
      <protection locked="0"/>
    </xf>
    <xf numFmtId="2" fontId="4" fillId="0" borderId="0" xfId="1" applyNumberFormat="1" applyFont="1" applyBorder="1" applyAlignment="1" applyProtection="1">
      <alignment horizontal="center"/>
      <protection locked="0"/>
    </xf>
    <xf numFmtId="0" fontId="4" fillId="0" borderId="0" xfId="1" applyFont="1" applyBorder="1" applyAlignment="1">
      <alignment horizontal="center"/>
    </xf>
    <xf numFmtId="0" fontId="3" fillId="0" borderId="0" xfId="1" applyFont="1" applyBorder="1"/>
    <xf numFmtId="0" fontId="5" fillId="0" borderId="11" xfId="1" applyFont="1" applyBorder="1" applyAlignment="1" applyProtection="1">
      <alignment horizontal="center" vertical="center" wrapText="1"/>
      <protection locked="0"/>
    </xf>
    <xf numFmtId="0" fontId="5" fillId="0" borderId="4" xfId="1" applyFont="1" applyBorder="1" applyAlignment="1" applyProtection="1">
      <alignment horizontal="center" vertical="center" wrapText="1"/>
      <protection locked="0"/>
    </xf>
    <xf numFmtId="0" fontId="5" fillId="0" borderId="5" xfId="1" applyFont="1" applyBorder="1" applyAlignment="1" applyProtection="1">
      <alignment horizontal="center" vertical="center" wrapText="1"/>
      <protection locked="0"/>
    </xf>
    <xf numFmtId="2" fontId="5" fillId="0" borderId="5" xfId="1" applyNumberFormat="1" applyFont="1" applyBorder="1" applyAlignment="1" applyProtection="1">
      <alignment horizontal="center" vertical="center" wrapText="1"/>
      <protection locked="0"/>
    </xf>
    <xf numFmtId="2" fontId="5" fillId="0" borderId="14" xfId="1" applyNumberFormat="1" applyFont="1" applyBorder="1" applyAlignment="1" applyProtection="1">
      <alignment horizontal="center" vertical="center" wrapText="1"/>
      <protection locked="0"/>
    </xf>
    <xf numFmtId="0" fontId="2" fillId="0" borderId="12" xfId="1" applyFont="1" applyBorder="1" applyAlignment="1" applyProtection="1">
      <alignment horizontal="center"/>
      <protection locked="0"/>
    </xf>
    <xf numFmtId="0" fontId="2" fillId="0" borderId="0" xfId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3" fillId="0" borderId="0" xfId="1" applyFont="1" applyBorder="1"/>
    <xf numFmtId="2" fontId="9" fillId="0" borderId="0" xfId="1" applyNumberFormat="1" applyFont="1" applyBorder="1" applyAlignment="1" applyProtection="1">
      <alignment vertical="center"/>
      <protection locked="0"/>
    </xf>
    <xf numFmtId="2" fontId="10" fillId="0" borderId="0" xfId="1" applyNumberFormat="1" applyFont="1" applyBorder="1" applyAlignment="1" applyProtection="1">
      <alignment vertical="center"/>
      <protection locked="0"/>
    </xf>
    <xf numFmtId="2" fontId="14" fillId="2" borderId="0" xfId="1" applyNumberFormat="1" applyFont="1" applyFill="1" applyProtection="1">
      <protection locked="0"/>
    </xf>
    <xf numFmtId="0" fontId="14" fillId="0" borderId="0" xfId="1" applyFont="1"/>
    <xf numFmtId="0" fontId="14" fillId="0" borderId="0" xfId="1" applyFont="1" applyAlignment="1" applyProtection="1">
      <alignment horizontal="center"/>
      <protection locked="0"/>
    </xf>
    <xf numFmtId="0" fontId="5" fillId="0" borderId="14" xfId="1" applyFont="1" applyBorder="1" applyAlignment="1" applyProtection="1">
      <alignment horizontal="center" vertical="center" wrapText="1"/>
      <protection locked="0"/>
    </xf>
    <xf numFmtId="0" fontId="5" fillId="0" borderId="12" xfId="1" applyFont="1" applyBorder="1" applyAlignment="1" applyProtection="1">
      <alignment horizontal="center" vertical="center" wrapText="1"/>
      <protection locked="0"/>
    </xf>
    <xf numFmtId="0" fontId="5" fillId="0" borderId="6" xfId="1" applyFont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2" fontId="5" fillId="0" borderId="7" xfId="1" applyNumberFormat="1" applyFont="1" applyBorder="1" applyAlignment="1" applyProtection="1">
      <alignment horizontal="center" vertical="center" wrapText="1"/>
      <protection locked="0"/>
    </xf>
    <xf numFmtId="2" fontId="5" fillId="0" borderId="15" xfId="1" applyNumberFormat="1" applyFont="1" applyBorder="1" applyAlignment="1" applyProtection="1">
      <alignment horizontal="center" vertical="center" wrapText="1"/>
      <protection locked="0"/>
    </xf>
    <xf numFmtId="2" fontId="5" fillId="0" borderId="0" xfId="1" applyNumberFormat="1" applyBorder="1" applyAlignment="1" applyProtection="1">
      <alignment vertical="center"/>
      <protection locked="0"/>
    </xf>
    <xf numFmtId="0" fontId="3" fillId="0" borderId="0" xfId="1" applyFont="1" applyAlignment="1">
      <alignment horizontal="center"/>
    </xf>
    <xf numFmtId="0" fontId="5" fillId="0" borderId="15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2" fontId="5" fillId="0" borderId="3" xfId="1" applyNumberFormat="1" applyFont="1" applyBorder="1" applyAlignment="1" applyProtection="1">
      <alignment horizontal="center" vertical="center" wrapText="1"/>
      <protection locked="0"/>
    </xf>
    <xf numFmtId="0" fontId="3" fillId="0" borderId="0" xfId="1" applyFont="1" applyBorder="1" applyAlignment="1">
      <alignment vertical="center"/>
    </xf>
    <xf numFmtId="0" fontId="3" fillId="0" borderId="0" xfId="1" applyFont="1" applyAlignment="1">
      <alignment vertical="center"/>
    </xf>
    <xf numFmtId="0" fontId="2" fillId="0" borderId="0" xfId="1" applyFont="1" applyBorder="1" applyAlignment="1">
      <alignment horizontal="center" vertical="center"/>
    </xf>
    <xf numFmtId="0" fontId="3" fillId="0" borderId="0" xfId="1" applyFont="1" applyAlignment="1" applyProtection="1">
      <alignment vertical="center"/>
      <protection locked="0"/>
    </xf>
    <xf numFmtId="0" fontId="14" fillId="0" borderId="0" xfId="1" applyFont="1" applyAlignment="1">
      <alignment vertical="center"/>
    </xf>
    <xf numFmtId="0" fontId="5" fillId="0" borderId="13" xfId="1" applyFont="1" applyBorder="1" applyAlignment="1" applyProtection="1">
      <alignment horizontal="center" vertical="center" wrapText="1"/>
      <protection locked="0"/>
    </xf>
    <xf numFmtId="166" fontId="5" fillId="0" borderId="11" xfId="1" applyNumberFormat="1" applyFont="1" applyBorder="1" applyAlignment="1" applyProtection="1">
      <alignment horizontal="center" vertical="center"/>
      <protection locked="0"/>
    </xf>
    <xf numFmtId="0" fontId="5" fillId="0" borderId="4" xfId="1" applyFont="1" applyBorder="1" applyAlignment="1" applyProtection="1">
      <alignment horizontal="center" vertical="center"/>
      <protection locked="0"/>
    </xf>
    <xf numFmtId="1" fontId="5" fillId="0" borderId="4" xfId="1" applyNumberFormat="1" applyFont="1" applyBorder="1" applyAlignment="1" applyProtection="1">
      <alignment horizontal="center" vertical="center"/>
      <protection locked="0"/>
    </xf>
    <xf numFmtId="1" fontId="5" fillId="0" borderId="5" xfId="1" applyNumberFormat="1" applyFont="1" applyBorder="1" applyAlignment="1" applyProtection="1">
      <alignment horizontal="center" vertical="center"/>
      <protection locked="0"/>
    </xf>
    <xf numFmtId="164" fontId="5" fillId="0" borderId="4" xfId="1" applyNumberFormat="1" applyFont="1" applyBorder="1" applyAlignment="1" applyProtection="1">
      <alignment horizontal="center" vertical="center"/>
      <protection locked="0"/>
    </xf>
    <xf numFmtId="164" fontId="5" fillId="0" borderId="5" xfId="1" applyNumberFormat="1" applyFont="1" applyBorder="1" applyAlignment="1" applyProtection="1">
      <alignment horizontal="center" vertical="center"/>
      <protection locked="0"/>
    </xf>
    <xf numFmtId="2" fontId="5" fillId="0" borderId="4" xfId="1" applyNumberFormat="1" applyFont="1" applyBorder="1" applyAlignment="1" applyProtection="1">
      <alignment horizontal="center" vertical="center"/>
      <protection locked="0"/>
    </xf>
    <xf numFmtId="2" fontId="5" fillId="0" borderId="5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Border="1" applyAlignment="1">
      <alignment horizontal="center" vertical="center"/>
    </xf>
    <xf numFmtId="2" fontId="3" fillId="0" borderId="0" xfId="1" applyNumberFormat="1" applyFont="1" applyBorder="1" applyAlignment="1">
      <alignment horizontal="center" vertical="center"/>
    </xf>
    <xf numFmtId="2" fontId="5" fillId="0" borderId="14" xfId="1" applyNumberFormat="1" applyFont="1" applyBorder="1" applyAlignment="1" applyProtection="1">
      <alignment horizontal="center" vertical="center"/>
      <protection locked="0"/>
    </xf>
    <xf numFmtId="166" fontId="5" fillId="0" borderId="12" xfId="1" applyNumberFormat="1" applyFont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horizontal="center" vertical="center"/>
      <protection locked="0"/>
    </xf>
    <xf numFmtId="1" fontId="5" fillId="0" borderId="6" xfId="1" applyNumberFormat="1" applyFont="1" applyBorder="1" applyAlignment="1" applyProtection="1">
      <alignment horizontal="center" vertical="center"/>
      <protection locked="0"/>
    </xf>
    <xf numFmtId="1" fontId="5" fillId="0" borderId="7" xfId="1" applyNumberFormat="1" applyFont="1" applyBorder="1" applyAlignment="1" applyProtection="1">
      <alignment horizontal="center" vertical="center"/>
      <protection locked="0"/>
    </xf>
    <xf numFmtId="164" fontId="5" fillId="0" borderId="6" xfId="1" applyNumberFormat="1" applyFont="1" applyBorder="1" applyAlignment="1" applyProtection="1">
      <alignment horizontal="center" vertical="center"/>
      <protection locked="0"/>
    </xf>
    <xf numFmtId="164" fontId="5" fillId="0" borderId="7" xfId="1" applyNumberFormat="1" applyFont="1" applyBorder="1" applyAlignment="1" applyProtection="1">
      <alignment horizontal="center" vertical="center"/>
      <protection locked="0"/>
    </xf>
    <xf numFmtId="2" fontId="5" fillId="0" borderId="6" xfId="1" applyNumberFormat="1" applyFont="1" applyBorder="1" applyAlignment="1" applyProtection="1">
      <alignment horizontal="center" vertical="center"/>
      <protection locked="0"/>
    </xf>
    <xf numFmtId="2" fontId="5" fillId="0" borderId="7" xfId="1" applyNumberFormat="1" applyFont="1" applyBorder="1" applyAlignment="1" applyProtection="1">
      <alignment horizontal="center" vertical="center"/>
      <protection locked="0"/>
    </xf>
    <xf numFmtId="2" fontId="5" fillId="0" borderId="15" xfId="1" applyNumberFormat="1" applyFont="1" applyBorder="1" applyAlignment="1" applyProtection="1">
      <alignment horizontal="center" vertical="center"/>
      <protection locked="0"/>
    </xf>
    <xf numFmtId="2" fontId="3" fillId="0" borderId="0" xfId="1" applyNumberFormat="1" applyFont="1" applyAlignment="1" applyProtection="1">
      <alignment vertical="center"/>
      <protection locked="0"/>
    </xf>
    <xf numFmtId="2" fontId="11" fillId="0" borderId="0" xfId="1" applyNumberFormat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/>
      <protection locked="0"/>
    </xf>
    <xf numFmtId="166" fontId="5" fillId="0" borderId="1" xfId="1" applyNumberFormat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  <protection locked="0"/>
    </xf>
    <xf numFmtId="1" fontId="5" fillId="0" borderId="2" xfId="1" applyNumberFormat="1" applyFont="1" applyBorder="1" applyAlignment="1" applyProtection="1">
      <alignment horizontal="center" vertical="center"/>
      <protection locked="0"/>
    </xf>
    <xf numFmtId="1" fontId="5" fillId="0" borderId="3" xfId="1" applyNumberFormat="1" applyFont="1" applyBorder="1" applyAlignment="1" applyProtection="1">
      <alignment horizontal="center" vertical="center"/>
      <protection locked="0"/>
    </xf>
    <xf numFmtId="164" fontId="5" fillId="0" borderId="2" xfId="1" applyNumberFormat="1" applyFont="1" applyBorder="1" applyAlignment="1" applyProtection="1">
      <alignment horizontal="center" vertical="center"/>
      <protection locked="0"/>
    </xf>
    <xf numFmtId="164" fontId="5" fillId="0" borderId="3" xfId="1" applyNumberFormat="1" applyFont="1" applyBorder="1" applyAlignment="1" applyProtection="1">
      <alignment horizontal="center" vertical="center"/>
      <protection locked="0"/>
    </xf>
    <xf numFmtId="2" fontId="5" fillId="0" borderId="2" xfId="1" applyNumberFormat="1" applyFont="1" applyBorder="1" applyAlignment="1" applyProtection="1">
      <alignment horizontal="center" vertical="center"/>
      <protection locked="0"/>
    </xf>
    <xf numFmtId="2" fontId="5" fillId="0" borderId="3" xfId="1" applyNumberFormat="1" applyFont="1" applyBorder="1" applyAlignment="1" applyProtection="1">
      <alignment horizontal="center" vertical="center"/>
      <protection locked="0"/>
    </xf>
    <xf numFmtId="2" fontId="5" fillId="0" borderId="13" xfId="1" applyNumberFormat="1" applyFont="1" applyBorder="1" applyAlignment="1" applyProtection="1">
      <alignment horizontal="center" vertical="center"/>
      <protection locked="0"/>
    </xf>
    <xf numFmtId="166" fontId="5" fillId="0" borderId="1" xfId="1" applyNumberFormat="1" applyFont="1" applyBorder="1" applyAlignment="1" applyProtection="1">
      <alignment vertical="center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5" fillId="0" borderId="13" xfId="1" applyFont="1" applyBorder="1" applyAlignment="1" applyProtection="1">
      <alignment horizontal="center" vertical="center"/>
      <protection locked="0"/>
    </xf>
    <xf numFmtId="1" fontId="16" fillId="0" borderId="0" xfId="1" applyNumberFormat="1" applyFont="1" applyAlignment="1" applyProtection="1">
      <alignment vertical="center"/>
      <protection locked="0"/>
    </xf>
    <xf numFmtId="166" fontId="5" fillId="0" borderId="12" xfId="1" applyNumberFormat="1" applyFont="1" applyBorder="1" applyAlignment="1" applyProtection="1">
      <alignment vertical="center"/>
      <protection locked="0"/>
    </xf>
    <xf numFmtId="0" fontId="5" fillId="0" borderId="7" xfId="1" applyFont="1" applyBorder="1" applyAlignment="1" applyProtection="1">
      <alignment horizontal="center" vertical="center"/>
      <protection locked="0"/>
    </xf>
    <xf numFmtId="1" fontId="3" fillId="0" borderId="0" xfId="1" applyNumberFormat="1" applyFont="1" applyAlignment="1">
      <alignment vertical="center"/>
    </xf>
    <xf numFmtId="0" fontId="5" fillId="0" borderId="15" xfId="1" applyFont="1" applyBorder="1" applyAlignment="1" applyProtection="1">
      <alignment horizontal="center" vertical="center"/>
      <protection locked="0"/>
    </xf>
    <xf numFmtId="0" fontId="13" fillId="3" borderId="0" xfId="1" applyFont="1" applyFill="1" applyAlignment="1" applyProtection="1">
      <alignment horizontal="center" vertical="center"/>
      <protection locked="0"/>
    </xf>
    <xf numFmtId="0" fontId="3" fillId="3" borderId="0" xfId="1" applyFont="1" applyFill="1" applyAlignment="1">
      <alignment vertical="center"/>
    </xf>
    <xf numFmtId="2" fontId="3" fillId="0" borderId="0" xfId="1" applyNumberFormat="1" applyFont="1" applyBorder="1" applyAlignment="1" applyProtection="1">
      <alignment horizontal="center" vertical="center"/>
      <protection locked="0"/>
    </xf>
    <xf numFmtId="0" fontId="6" fillId="3" borderId="0" xfId="1" applyFont="1" applyFill="1" applyAlignment="1" applyProtection="1">
      <alignment horizontal="center"/>
      <protection locked="0"/>
    </xf>
    <xf numFmtId="0" fontId="13" fillId="3" borderId="16" xfId="1" applyFont="1" applyFill="1" applyBorder="1" applyAlignment="1" applyProtection="1">
      <alignment horizontal="center" vertical="center"/>
      <protection locked="0"/>
    </xf>
    <xf numFmtId="0" fontId="7" fillId="3" borderId="0" xfId="1" applyFont="1" applyFill="1" applyAlignment="1" applyProtection="1">
      <alignment horizontal="center"/>
      <protection locked="0"/>
    </xf>
    <xf numFmtId="0" fontId="6" fillId="3" borderId="11" xfId="1" applyFont="1" applyFill="1" applyBorder="1" applyAlignment="1" applyProtection="1">
      <alignment horizontal="center"/>
      <protection locked="0"/>
    </xf>
    <xf numFmtId="0" fontId="6" fillId="3" borderId="17" xfId="1" applyFont="1" applyFill="1" applyBorder="1" applyAlignment="1" applyProtection="1">
      <alignment horizontal="center"/>
      <protection locked="0"/>
    </xf>
    <xf numFmtId="0" fontId="6" fillId="3" borderId="5" xfId="1" applyFont="1" applyFill="1" applyBorder="1" applyAlignment="1" applyProtection="1">
      <alignment horizontal="center"/>
      <protection locked="0"/>
    </xf>
    <xf numFmtId="2" fontId="3" fillId="2" borderId="0" xfId="1" applyNumberFormat="1" applyFont="1" applyFill="1" applyAlignment="1">
      <alignment vertical="center"/>
    </xf>
    <xf numFmtId="0" fontId="6" fillId="3" borderId="1" xfId="1" applyFont="1" applyFill="1" applyBorder="1" applyAlignment="1" applyProtection="1">
      <alignment horizontal="center"/>
      <protection locked="0"/>
    </xf>
    <xf numFmtId="0" fontId="6" fillId="3" borderId="16" xfId="1" applyFont="1" applyFill="1" applyBorder="1" applyAlignment="1" applyProtection="1">
      <alignment horizontal="center"/>
      <protection locked="0"/>
    </xf>
    <xf numFmtId="0" fontId="6" fillId="3" borderId="3" xfId="1" applyFont="1" applyFill="1" applyBorder="1" applyAlignment="1" applyProtection="1">
      <alignment horizontal="center"/>
      <protection locked="0"/>
    </xf>
    <xf numFmtId="164" fontId="5" fillId="0" borderId="11" xfId="1" applyNumberFormat="1" applyFont="1" applyBorder="1" applyAlignment="1" applyProtection="1">
      <alignment horizontal="center" vertical="center" wrapText="1"/>
      <protection locked="0"/>
    </xf>
    <xf numFmtId="2" fontId="3" fillId="0" borderId="12" xfId="1" applyNumberFormat="1" applyFont="1" applyBorder="1" applyAlignment="1" applyProtection="1">
      <alignment horizontal="center" vertical="center"/>
      <protection locked="0"/>
    </xf>
    <xf numFmtId="0" fontId="3" fillId="3" borderId="0" xfId="1" applyFont="1" applyFill="1"/>
    <xf numFmtId="0" fontId="3" fillId="3" borderId="0" xfId="1" applyFont="1" applyFill="1"/>
    <xf numFmtId="0" fontId="2" fillId="2" borderId="0" xfId="1" applyFont="1" applyFill="1"/>
    <xf numFmtId="0" fontId="3" fillId="2" borderId="0" xfId="1" applyFont="1" applyFill="1"/>
    <xf numFmtId="2" fontId="2" fillId="2" borderId="0" xfId="1" applyNumberFormat="1" applyFont="1" applyFill="1"/>
    <xf numFmtId="1" fontId="2" fillId="2" borderId="0" xfId="1" applyNumberFormat="1" applyFont="1" applyFill="1"/>
    <xf numFmtId="164" fontId="5" fillId="0" borderId="12" xfId="1" applyNumberFormat="1" applyFont="1" applyBorder="1" applyAlignment="1" applyProtection="1">
      <alignment horizontal="center" vertical="center" wrapText="1"/>
      <protection locked="0"/>
    </xf>
    <xf numFmtId="2" fontId="5" fillId="3" borderId="11" xfId="1" applyNumberFormat="1" applyFill="1" applyBorder="1" applyAlignment="1">
      <alignment horizontal="center" vertical="center" wrapText="1"/>
    </xf>
    <xf numFmtId="2" fontId="5" fillId="3" borderId="5" xfId="1" applyNumberFormat="1" applyFill="1" applyBorder="1" applyAlignment="1">
      <alignment horizontal="center" vertical="center" wrapText="1"/>
    </xf>
    <xf numFmtId="2" fontId="5" fillId="3" borderId="9" xfId="1" applyNumberFormat="1" applyFill="1" applyBorder="1" applyAlignment="1">
      <alignment horizontal="center" vertical="center" wrapText="1"/>
    </xf>
    <xf numFmtId="2" fontId="5" fillId="3" borderId="10" xfId="1" applyNumberFormat="1" applyFill="1" applyBorder="1" applyAlignment="1">
      <alignment horizontal="center" vertical="center" wrapText="1"/>
    </xf>
    <xf numFmtId="2" fontId="5" fillId="3" borderId="18" xfId="1" applyNumberFormat="1" applyFill="1" applyBorder="1" applyAlignment="1">
      <alignment horizontal="center" vertical="center" wrapText="1"/>
    </xf>
    <xf numFmtId="164" fontId="5" fillId="0" borderId="1" xfId="1" applyNumberFormat="1" applyFont="1" applyBorder="1" applyAlignment="1" applyProtection="1">
      <alignment horizontal="center" vertical="center" wrapText="1"/>
      <protection locked="0"/>
    </xf>
    <xf numFmtId="164" fontId="5" fillId="0" borderId="2" xfId="1" applyNumberFormat="1" applyFont="1" applyBorder="1" applyAlignment="1" applyProtection="1">
      <alignment horizontal="center" vertical="center" wrapText="1"/>
      <protection locked="0"/>
    </xf>
    <xf numFmtId="2" fontId="5" fillId="3" borderId="1" xfId="1" applyNumberFormat="1" applyFill="1" applyBorder="1" applyAlignment="1">
      <alignment horizontal="center" vertical="center" wrapText="1"/>
    </xf>
    <xf numFmtId="2" fontId="5" fillId="3" borderId="3" xfId="1" applyNumberFormat="1" applyFill="1" applyBorder="1" applyAlignment="1">
      <alignment horizontal="center" vertical="center" wrapText="1"/>
    </xf>
    <xf numFmtId="2" fontId="5" fillId="3" borderId="9" xfId="1" applyNumberFormat="1" applyFill="1" applyBorder="1" applyAlignment="1">
      <alignment horizontal="center" vertical="center" wrapText="1"/>
    </xf>
    <xf numFmtId="2" fontId="5" fillId="3" borderId="10" xfId="1" applyNumberFormat="1" applyFill="1" applyBorder="1" applyAlignment="1">
      <alignment horizontal="center" vertical="center" wrapText="1"/>
    </xf>
    <xf numFmtId="0" fontId="3" fillId="3" borderId="9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2" fontId="3" fillId="0" borderId="0" xfId="1" applyNumberFormat="1" applyFont="1"/>
    <xf numFmtId="0" fontId="5" fillId="3" borderId="11" xfId="1" applyFill="1" applyBorder="1" applyAlignment="1" applyProtection="1">
      <alignment horizontal="center" vertical="center"/>
      <protection locked="0"/>
    </xf>
    <xf numFmtId="0" fontId="5" fillId="3" borderId="5" xfId="1" applyFill="1" applyBorder="1" applyAlignment="1" applyProtection="1">
      <alignment horizontal="center" vertical="center"/>
      <protection locked="0"/>
    </xf>
    <xf numFmtId="2" fontId="5" fillId="3" borderId="12" xfId="1" applyNumberFormat="1" applyFill="1" applyBorder="1" applyAlignment="1" applyProtection="1">
      <alignment horizontal="center" vertical="center"/>
      <protection locked="0"/>
    </xf>
    <xf numFmtId="1" fontId="5" fillId="3" borderId="7" xfId="1" applyNumberFormat="1" applyFill="1" applyBorder="1" applyAlignment="1" applyProtection="1">
      <alignment horizontal="center" vertical="center"/>
      <protection locked="0"/>
    </xf>
    <xf numFmtId="2" fontId="5" fillId="3" borderId="11" xfId="1" applyNumberFormat="1" applyFill="1" applyBorder="1" applyAlignment="1" applyProtection="1">
      <alignment horizontal="center" vertical="center"/>
      <protection locked="0"/>
    </xf>
    <xf numFmtId="2" fontId="5" fillId="3" borderId="17" xfId="1" applyNumberFormat="1" applyFill="1" applyBorder="1" applyAlignment="1" applyProtection="1">
      <alignment horizontal="center" vertical="center"/>
      <protection locked="0"/>
    </xf>
    <xf numFmtId="1" fontId="5" fillId="3" borderId="17" xfId="1" applyNumberFormat="1" applyFill="1" applyBorder="1" applyAlignment="1" applyProtection="1">
      <alignment horizontal="center" vertical="center"/>
      <protection locked="0"/>
    </xf>
    <xf numFmtId="1" fontId="5" fillId="3" borderId="5" xfId="1" applyNumberFormat="1" applyFill="1" applyBorder="1" applyAlignment="1" applyProtection="1">
      <alignment horizontal="center" vertical="center"/>
      <protection locked="0"/>
    </xf>
    <xf numFmtId="0" fontId="3" fillId="3" borderId="11" xfId="1" applyFont="1" applyFill="1" applyBorder="1" applyAlignment="1">
      <alignment horizontal="center" vertical="center"/>
    </xf>
    <xf numFmtId="0" fontId="3" fillId="3" borderId="5" xfId="1" applyFont="1" applyFill="1" applyBorder="1" applyAlignment="1">
      <alignment horizontal="center" vertical="center"/>
    </xf>
    <xf numFmtId="0" fontId="5" fillId="3" borderId="12" xfId="1" applyFill="1" applyBorder="1" applyAlignment="1" applyProtection="1">
      <alignment horizontal="center" vertical="center"/>
      <protection locked="0"/>
    </xf>
    <xf numFmtId="0" fontId="5" fillId="3" borderId="7" xfId="1" applyFill="1" applyBorder="1" applyAlignment="1" applyProtection="1">
      <alignment horizontal="center" vertical="center"/>
      <protection locked="0"/>
    </xf>
    <xf numFmtId="2" fontId="5" fillId="3" borderId="12" xfId="1" applyNumberFormat="1" applyFill="1" applyBorder="1" applyAlignment="1" applyProtection="1">
      <alignment horizontal="center" vertical="center"/>
      <protection locked="0"/>
    </xf>
    <xf numFmtId="2" fontId="5" fillId="3" borderId="0" xfId="1" applyNumberFormat="1" applyFill="1" applyBorder="1" applyAlignment="1" applyProtection="1">
      <alignment horizontal="center" vertical="center"/>
      <protection locked="0"/>
    </xf>
    <xf numFmtId="1" fontId="5" fillId="3" borderId="0" xfId="1" applyNumberFormat="1" applyFill="1" applyBorder="1" applyAlignment="1" applyProtection="1">
      <alignment horizontal="center" vertical="center"/>
      <protection locked="0"/>
    </xf>
    <xf numFmtId="1" fontId="5" fillId="3" borderId="7" xfId="1" applyNumberFormat="1" applyFill="1" applyBorder="1" applyAlignment="1" applyProtection="1">
      <alignment horizontal="center" vertical="center"/>
      <protection locked="0"/>
    </xf>
    <xf numFmtId="0" fontId="3" fillId="3" borderId="12" xfId="1" applyFont="1" applyFill="1" applyBorder="1" applyAlignment="1">
      <alignment horizontal="center" vertical="center"/>
    </xf>
    <xf numFmtId="0" fontId="3" fillId="3" borderId="7" xfId="1" applyFont="1" applyFill="1" applyBorder="1" applyAlignment="1">
      <alignment horizontal="center" vertical="center"/>
    </xf>
    <xf numFmtId="166" fontId="5" fillId="0" borderId="12" xfId="1" applyNumberFormat="1" applyFont="1" applyBorder="1" applyProtection="1">
      <protection locked="0"/>
    </xf>
    <xf numFmtId="164" fontId="5" fillId="0" borderId="6" xfId="1" applyNumberFormat="1" applyFont="1" applyBorder="1" applyAlignment="1" applyProtection="1">
      <alignment horizontal="center"/>
      <protection locked="0"/>
    </xf>
    <xf numFmtId="164" fontId="5" fillId="0" borderId="7" xfId="1" applyNumberFormat="1" applyFont="1" applyBorder="1" applyAlignment="1" applyProtection="1">
      <alignment horizontal="center"/>
      <protection locked="0"/>
    </xf>
    <xf numFmtId="0" fontId="5" fillId="0" borderId="6" xfId="1" applyFont="1" applyBorder="1" applyAlignment="1" applyProtection="1">
      <alignment horizontal="center"/>
      <protection locked="0"/>
    </xf>
    <xf numFmtId="0" fontId="5" fillId="0" borderId="7" xfId="1" applyFont="1" applyBorder="1" applyAlignment="1" applyProtection="1">
      <alignment horizontal="center"/>
      <protection locked="0"/>
    </xf>
    <xf numFmtId="166" fontId="5" fillId="0" borderId="1" xfId="1" applyNumberFormat="1" applyFont="1" applyBorder="1" applyProtection="1">
      <protection locked="0"/>
    </xf>
    <xf numFmtId="1" fontId="5" fillId="0" borderId="2" xfId="1" applyNumberFormat="1" applyFont="1" applyBorder="1" applyAlignment="1" applyProtection="1">
      <alignment horizontal="center"/>
      <protection locked="0"/>
    </xf>
    <xf numFmtId="1" fontId="5" fillId="0" borderId="3" xfId="1" applyNumberFormat="1" applyFont="1" applyBorder="1" applyAlignment="1" applyProtection="1">
      <alignment horizontal="center"/>
      <protection locked="0"/>
    </xf>
    <xf numFmtId="164" fontId="5" fillId="0" borderId="2" xfId="1" applyNumberFormat="1" applyFont="1" applyBorder="1" applyAlignment="1" applyProtection="1">
      <alignment horizontal="center"/>
      <protection locked="0"/>
    </xf>
    <xf numFmtId="164" fontId="5" fillId="0" borderId="3" xfId="1" applyNumberFormat="1" applyFont="1" applyBorder="1" applyAlignment="1" applyProtection="1">
      <alignment horizontal="center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3" borderId="1" xfId="1" applyFill="1" applyBorder="1" applyAlignment="1" applyProtection="1">
      <alignment horizontal="center" vertical="center"/>
      <protection locked="0"/>
    </xf>
    <xf numFmtId="0" fontId="5" fillId="3" borderId="3" xfId="1" applyFill="1" applyBorder="1" applyAlignment="1" applyProtection="1">
      <alignment horizontal="center" vertical="center"/>
      <protection locked="0"/>
    </xf>
    <xf numFmtId="2" fontId="5" fillId="3" borderId="1" xfId="1" applyNumberFormat="1" applyFill="1" applyBorder="1" applyAlignment="1" applyProtection="1">
      <alignment horizontal="center" vertical="center"/>
      <protection locked="0"/>
    </xf>
    <xf numFmtId="1" fontId="5" fillId="3" borderId="3" xfId="1" applyNumberFormat="1" applyFill="1" applyBorder="1" applyAlignment="1" applyProtection="1">
      <alignment horizontal="center" vertical="center"/>
      <protection locked="0"/>
    </xf>
    <xf numFmtId="2" fontId="5" fillId="3" borderId="1" xfId="1" applyNumberFormat="1" applyFill="1" applyBorder="1" applyAlignment="1" applyProtection="1">
      <alignment horizontal="center" vertical="center"/>
      <protection locked="0"/>
    </xf>
    <xf numFmtId="2" fontId="5" fillId="3" borderId="16" xfId="1" applyNumberFormat="1" applyFill="1" applyBorder="1" applyAlignment="1" applyProtection="1">
      <alignment horizontal="center" vertical="center"/>
      <protection locked="0"/>
    </xf>
    <xf numFmtId="1" fontId="5" fillId="3" borderId="16" xfId="1" applyNumberFormat="1" applyFill="1" applyBorder="1" applyAlignment="1" applyProtection="1">
      <alignment horizontal="center" vertical="center"/>
      <protection locked="0"/>
    </xf>
    <xf numFmtId="1" fontId="5" fillId="3" borderId="3" xfId="1" applyNumberFormat="1" applyFill="1" applyBorder="1" applyAlignment="1" applyProtection="1">
      <alignment horizontal="center" vertical="center"/>
      <protection locked="0"/>
    </xf>
    <xf numFmtId="0" fontId="3" fillId="3" borderId="1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0" fontId="5" fillId="3" borderId="0" xfId="1" applyFill="1" applyBorder="1"/>
    <xf numFmtId="2" fontId="5" fillId="3" borderId="0" xfId="1" applyNumberFormat="1" applyFill="1" applyBorder="1"/>
    <xf numFmtId="0" fontId="5" fillId="3" borderId="0" xfId="1" applyFill="1"/>
    <xf numFmtId="0" fontId="5" fillId="3" borderId="0" xfId="1" applyFill="1" applyBorder="1" applyAlignment="1">
      <alignment horizontal="center"/>
    </xf>
    <xf numFmtId="2" fontId="5" fillId="0" borderId="3" xfId="1" applyNumberFormat="1" applyFont="1" applyBorder="1" applyAlignment="1" applyProtection="1">
      <alignment horizontal="center"/>
      <protection locked="0"/>
    </xf>
    <xf numFmtId="0" fontId="12" fillId="3" borderId="0" xfId="1" applyFont="1" applyFill="1" applyAlignment="1">
      <alignment vertical="center"/>
    </xf>
    <xf numFmtId="0" fontId="12" fillId="3" borderId="0" xfId="1" applyFont="1" applyFill="1" applyAlignment="1" applyProtection="1">
      <alignment vertical="center"/>
      <protection locked="0"/>
    </xf>
    <xf numFmtId="0" fontId="12" fillId="3" borderId="0" xfId="1" applyFont="1" applyFill="1" applyAlignment="1" applyProtection="1">
      <alignment horizontal="left" vertical="center" wrapText="1"/>
      <protection locked="0"/>
    </xf>
    <xf numFmtId="2" fontId="5" fillId="0" borderId="7" xfId="1" applyNumberFormat="1" applyFont="1" applyBorder="1" applyAlignment="1" applyProtection="1">
      <alignment horizontal="center"/>
      <protection locked="0"/>
    </xf>
    <xf numFmtId="0" fontId="5" fillId="0" borderId="0" xfId="1" applyFont="1" applyAlignment="1">
      <alignment vertical="center"/>
    </xf>
    <xf numFmtId="0" fontId="5" fillId="0" borderId="0" xfId="1" applyFont="1" applyAlignment="1" applyProtection="1">
      <alignment vertical="center"/>
      <protection locked="0"/>
    </xf>
    <xf numFmtId="164" fontId="3" fillId="0" borderId="0" xfId="1" applyNumberFormat="1" applyFont="1" applyBorder="1" applyAlignment="1" applyProtection="1">
      <alignment horizontal="center" vertical="center"/>
      <protection locked="0"/>
    </xf>
    <xf numFmtId="0" fontId="3" fillId="0" borderId="0" xfId="1" applyFont="1" applyBorder="1" applyAlignment="1" applyProtection="1">
      <alignment horizontal="center" vertical="center"/>
      <protection locked="0"/>
    </xf>
    <xf numFmtId="2" fontId="3" fillId="0" borderId="0" xfId="1" applyNumberFormat="1" applyFont="1" applyBorder="1" applyProtection="1">
      <protection locked="0"/>
    </xf>
    <xf numFmtId="164" fontId="3" fillId="0" borderId="0" xfId="1" applyNumberFormat="1" applyFont="1" applyBorder="1" applyProtection="1">
      <protection locked="0"/>
    </xf>
    <xf numFmtId="2" fontId="2" fillId="0" borderId="0" xfId="1" applyNumberFormat="1" applyFont="1" applyBorder="1" applyProtection="1">
      <protection locked="0"/>
    </xf>
    <xf numFmtId="164" fontId="2" fillId="0" borderId="0" xfId="1" applyNumberFormat="1" applyFont="1" applyBorder="1" applyProtection="1">
      <protection locked="0"/>
    </xf>
    <xf numFmtId="0" fontId="2" fillId="0" borderId="0" xfId="1" applyFont="1" applyBorder="1" applyProtection="1">
      <protection locked="0"/>
    </xf>
    <xf numFmtId="0" fontId="5" fillId="0" borderId="8" xfId="1" applyFont="1" applyBorder="1" applyAlignment="1" applyProtection="1">
      <alignment horizontal="center" vertical="center"/>
      <protection locked="0"/>
    </xf>
    <xf numFmtId="2" fontId="5" fillId="0" borderId="8" xfId="1" applyNumberFormat="1" applyFont="1" applyBorder="1" applyAlignment="1" applyProtection="1">
      <alignment horizontal="center" vertical="center"/>
      <protection locked="0"/>
    </xf>
    <xf numFmtId="165" fontId="5" fillId="0" borderId="0" xfId="1" applyNumberFormat="1" applyFont="1" applyAlignment="1" applyProtection="1">
      <alignment horizontal="center"/>
      <protection locked="0"/>
    </xf>
    <xf numFmtId="165" fontId="9" fillId="0" borderId="0" xfId="1" applyNumberFormat="1" applyFont="1" applyAlignment="1" applyProtection="1">
      <alignment horizontal="center"/>
      <protection locked="0"/>
    </xf>
    <xf numFmtId="0" fontId="2" fillId="0" borderId="0" xfId="1" applyFont="1" applyBorder="1" applyAlignment="1" applyProtection="1">
      <alignment horizontal="center"/>
      <protection locked="0"/>
    </xf>
    <xf numFmtId="164" fontId="5" fillId="0" borderId="0" xfId="1" applyNumberFormat="1" applyFont="1" applyAlignment="1" applyProtection="1">
      <alignment horizontal="center"/>
      <protection locked="0"/>
    </xf>
    <xf numFmtId="165" fontId="5" fillId="0" borderId="0" xfId="1" applyNumberFormat="1" applyFont="1" applyProtection="1">
      <protection locked="0"/>
    </xf>
    <xf numFmtId="164" fontId="3" fillId="0" borderId="0" xfId="1" applyNumberFormat="1" applyFont="1"/>
    <xf numFmtId="0" fontId="5" fillId="0" borderId="0" xfId="1"/>
    <xf numFmtId="2" fontId="2" fillId="0" borderId="0" xfId="1" applyNumberFormat="1" applyFont="1" applyBorder="1" applyAlignment="1" applyProtection="1">
      <alignment horizontal="center"/>
      <protection locked="0"/>
    </xf>
    <xf numFmtId="164" fontId="2" fillId="0" borderId="0" xfId="1" applyNumberFormat="1" applyFont="1" applyBorder="1" applyAlignment="1" applyProtection="1">
      <alignment horizontal="center"/>
      <protection locked="0"/>
    </xf>
    <xf numFmtId="0" fontId="2" fillId="0" borderId="0" xfId="1" applyFont="1" applyBorder="1"/>
    <xf numFmtId="2" fontId="3" fillId="0" borderId="0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0855409165122"/>
          <c:y val="6.9518716577540107E-2"/>
          <c:w val="0.81250137753190366"/>
          <c:h val="0.756684491978609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Control'!$I$3</c:f>
              <c:strCache>
                <c:ptCount val="1"/>
                <c:pt idx="0">
                  <c:v>TSRmin for Buckling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'Input Control'!$H$4:$H$22</c:f>
              <c:numCache>
                <c:formatCode>0.0</c:formatCode>
                <c:ptCount val="19"/>
                <c:pt idx="0" formatCode="0.00">
                  <c:v>8.5500000000000007</c:v>
                </c:pt>
                <c:pt idx="1">
                  <c:v>9</c:v>
                </c:pt>
                <c:pt idx="2">
                  <c:v>9.5</c:v>
                </c:pt>
                <c:pt idx="3">
                  <c:v>10</c:v>
                </c:pt>
                <c:pt idx="4">
                  <c:v>10.5</c:v>
                </c:pt>
                <c:pt idx="5">
                  <c:v>11</c:v>
                </c:pt>
                <c:pt idx="6">
                  <c:v>11.5</c:v>
                </c:pt>
                <c:pt idx="7">
                  <c:v>12</c:v>
                </c:pt>
                <c:pt idx="8">
                  <c:v>12.5</c:v>
                </c:pt>
                <c:pt idx="9">
                  <c:v>13</c:v>
                </c:pt>
                <c:pt idx="10">
                  <c:v>13.5</c:v>
                </c:pt>
                <c:pt idx="11">
                  <c:v>14</c:v>
                </c:pt>
                <c:pt idx="12">
                  <c:v>14.5</c:v>
                </c:pt>
                <c:pt idx="13">
                  <c:v>15</c:v>
                </c:pt>
                <c:pt idx="14">
                  <c:v>15.5</c:v>
                </c:pt>
                <c:pt idx="15">
                  <c:v>16</c:v>
                </c:pt>
              </c:numCache>
            </c:numRef>
          </c:xVal>
          <c:yVal>
            <c:numRef>
              <c:f>'Input Control'!$I$4:$I$22</c:f>
              <c:numCache>
                <c:formatCode>0.0</c:formatCode>
                <c:ptCount val="19"/>
                <c:pt idx="0">
                  <c:v>816.93026390714635</c:v>
                </c:pt>
                <c:pt idx="1">
                  <c:v>843.15519906425732</c:v>
                </c:pt>
                <c:pt idx="2">
                  <c:v>872.29401590549185</c:v>
                </c:pt>
                <c:pt idx="3">
                  <c:v>901.43283274672626</c:v>
                </c:pt>
                <c:pt idx="4">
                  <c:v>930.57164958796079</c:v>
                </c:pt>
                <c:pt idx="5">
                  <c:v>959.71046642919532</c:v>
                </c:pt>
                <c:pt idx="6">
                  <c:v>988.84928327042985</c:v>
                </c:pt>
                <c:pt idx="7">
                  <c:v>1017.9881001116643</c:v>
                </c:pt>
                <c:pt idx="8">
                  <c:v>1047.1269169528987</c:v>
                </c:pt>
                <c:pt idx="9">
                  <c:v>1076.2657337941332</c:v>
                </c:pt>
                <c:pt idx="10">
                  <c:v>1105.4045506353677</c:v>
                </c:pt>
                <c:pt idx="11">
                  <c:v>1134.5433674766023</c:v>
                </c:pt>
                <c:pt idx="12">
                  <c:v>1163.6821843178368</c:v>
                </c:pt>
                <c:pt idx="13">
                  <c:v>1192.8210011590713</c:v>
                </c:pt>
                <c:pt idx="14">
                  <c:v>1221.9598180003059</c:v>
                </c:pt>
                <c:pt idx="15">
                  <c:v>1251.0986348415404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'Input Control'!$J$3</c:f>
              <c:strCache>
                <c:ptCount val="1"/>
                <c:pt idx="0">
                  <c:v>TSRmin for ERD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'Input Control'!$H$4:$H$22</c:f>
              <c:numCache>
                <c:formatCode>0.0</c:formatCode>
                <c:ptCount val="19"/>
                <c:pt idx="0" formatCode="0.00">
                  <c:v>8.5500000000000007</c:v>
                </c:pt>
                <c:pt idx="1">
                  <c:v>9</c:v>
                </c:pt>
                <c:pt idx="2">
                  <c:v>9.5</c:v>
                </c:pt>
                <c:pt idx="3">
                  <c:v>10</c:v>
                </c:pt>
                <c:pt idx="4">
                  <c:v>10.5</c:v>
                </c:pt>
                <c:pt idx="5">
                  <c:v>11</c:v>
                </c:pt>
                <c:pt idx="6">
                  <c:v>11.5</c:v>
                </c:pt>
                <c:pt idx="7">
                  <c:v>12</c:v>
                </c:pt>
                <c:pt idx="8">
                  <c:v>12.5</c:v>
                </c:pt>
                <c:pt idx="9">
                  <c:v>13</c:v>
                </c:pt>
                <c:pt idx="10">
                  <c:v>13.5</c:v>
                </c:pt>
                <c:pt idx="11">
                  <c:v>14</c:v>
                </c:pt>
                <c:pt idx="12">
                  <c:v>14.5</c:v>
                </c:pt>
                <c:pt idx="13">
                  <c:v>15</c:v>
                </c:pt>
                <c:pt idx="14">
                  <c:v>15.5</c:v>
                </c:pt>
                <c:pt idx="15">
                  <c:v>16</c:v>
                </c:pt>
              </c:numCache>
            </c:numRef>
          </c:xVal>
          <c:yVal>
            <c:numRef>
              <c:f>'Input Control'!$J$4:$J$22</c:f>
              <c:numCache>
                <c:formatCode>0</c:formatCode>
                <c:ptCount val="19"/>
                <c:pt idx="0">
                  <c:v>1089.2403518761951</c:v>
                </c:pt>
                <c:pt idx="1">
                  <c:v>1011.7862388771089</c:v>
                </c:pt>
                <c:pt idx="2">
                  <c:v>1046.7528190865903</c:v>
                </c:pt>
                <c:pt idx="3">
                  <c:v>1081.7193992960715</c:v>
                </c:pt>
                <c:pt idx="4">
                  <c:v>1116.685979505553</c:v>
                </c:pt>
                <c:pt idx="5">
                  <c:v>1151.6525597150344</c:v>
                </c:pt>
                <c:pt idx="6">
                  <c:v>1186.6191399245158</c:v>
                </c:pt>
                <c:pt idx="7">
                  <c:v>1221.585720133997</c:v>
                </c:pt>
                <c:pt idx="8">
                  <c:v>1256.5523003434782</c:v>
                </c:pt>
                <c:pt idx="9">
                  <c:v>1291.5188805529597</c:v>
                </c:pt>
                <c:pt idx="10">
                  <c:v>1326.4854607624411</c:v>
                </c:pt>
                <c:pt idx="11">
                  <c:v>1361.4520409719225</c:v>
                </c:pt>
                <c:pt idx="12">
                  <c:v>1396.418621181404</c:v>
                </c:pt>
                <c:pt idx="13">
                  <c:v>1431.3852013908854</c:v>
                </c:pt>
                <c:pt idx="14">
                  <c:v>1466.3517816003668</c:v>
                </c:pt>
                <c:pt idx="15">
                  <c:v>1501.3183618098483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'Input Control'!$M$3</c:f>
              <c:strCache>
                <c:ptCount val="1"/>
                <c:pt idx="0">
                  <c:v>Required Tmin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'Input Control'!$H$4:$H$22</c:f>
              <c:numCache>
                <c:formatCode>0.0</c:formatCode>
                <c:ptCount val="19"/>
                <c:pt idx="0" formatCode="0.00">
                  <c:v>8.5500000000000007</c:v>
                </c:pt>
                <c:pt idx="1">
                  <c:v>9</c:v>
                </c:pt>
                <c:pt idx="2">
                  <c:v>9.5</c:v>
                </c:pt>
                <c:pt idx="3">
                  <c:v>10</c:v>
                </c:pt>
                <c:pt idx="4">
                  <c:v>10.5</c:v>
                </c:pt>
                <c:pt idx="5">
                  <c:v>11</c:v>
                </c:pt>
                <c:pt idx="6">
                  <c:v>11.5</c:v>
                </c:pt>
                <c:pt idx="7">
                  <c:v>12</c:v>
                </c:pt>
                <c:pt idx="8">
                  <c:v>12.5</c:v>
                </c:pt>
                <c:pt idx="9">
                  <c:v>13</c:v>
                </c:pt>
                <c:pt idx="10">
                  <c:v>13.5</c:v>
                </c:pt>
                <c:pt idx="11">
                  <c:v>14</c:v>
                </c:pt>
                <c:pt idx="12">
                  <c:v>14.5</c:v>
                </c:pt>
                <c:pt idx="13">
                  <c:v>15</c:v>
                </c:pt>
                <c:pt idx="14">
                  <c:v>15.5</c:v>
                </c:pt>
                <c:pt idx="15">
                  <c:v>16</c:v>
                </c:pt>
              </c:numCache>
            </c:numRef>
          </c:xVal>
          <c:yVal>
            <c:numRef>
              <c:f>'Input Control'!$M$4:$M$22</c:f>
              <c:numCache>
                <c:formatCode>0.0</c:formatCode>
                <c:ptCount val="19"/>
              </c:numCache>
            </c:numRef>
          </c:yVal>
          <c:smooth val="0"/>
        </c:ser>
        <c:ser>
          <c:idx val="2"/>
          <c:order val="3"/>
          <c:tx>
            <c:strRef>
              <c:f>'Input Control'!$L$38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'Input Control'!$P$39:$P$40</c:f>
              <c:numCache>
                <c:formatCode>General</c:formatCode>
                <c:ptCount val="2"/>
                <c:pt idx="0">
                  <c:v>8</c:v>
                </c:pt>
                <c:pt idx="1">
                  <c:v>16</c:v>
                </c:pt>
              </c:numCache>
            </c:numRef>
          </c:xVal>
          <c:yVal>
            <c:numRef>
              <c:f>'Input Control'!$L$39:$L$40</c:f>
              <c:numCache>
                <c:formatCode>General</c:formatCode>
                <c:ptCount val="2"/>
                <c:pt idx="0">
                  <c:v>0</c:v>
                </c:pt>
                <c:pt idx="1">
                  <c:v>2475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449152"/>
        <c:axId val="364449728"/>
      </c:scatterChart>
      <c:valAx>
        <c:axId val="364449152"/>
        <c:scaling>
          <c:orientation val="minMax"/>
          <c:max val="16"/>
          <c:min val="8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Mud Weight (ppg)</a:t>
                </a:r>
              </a:p>
            </c:rich>
          </c:tx>
          <c:layout>
            <c:manualLayout>
              <c:xMode val="edge"/>
              <c:yMode val="edge"/>
              <c:x val="0.44444517351997664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49728"/>
        <c:crosses val="autoZero"/>
        <c:crossBetween val="midCat"/>
      </c:valAx>
      <c:valAx>
        <c:axId val="364449728"/>
        <c:scaling>
          <c:orientation val="minMax"/>
          <c:max val="35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Tension (kips)</a:t>
                </a:r>
              </a:p>
            </c:rich>
          </c:tx>
          <c:layout>
            <c:manualLayout>
              <c:xMode val="edge"/>
              <c:yMode val="edge"/>
              <c:x val="2.0833333333333332E-2"/>
              <c:y val="0.334224598930481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491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715368912219306"/>
          <c:y val="0.56951871657754005"/>
          <c:w val="0.29687554680664913"/>
          <c:h val="0.240641711229946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0855409165122"/>
          <c:y val="6.9518716577540107E-2"/>
          <c:w val="0.81250137753190366"/>
          <c:h val="0.756684491978609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Control'!$I$3</c:f>
              <c:strCache>
                <c:ptCount val="1"/>
                <c:pt idx="0">
                  <c:v>TSRmin for Buckling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'Input Control'!$H$4:$H$22</c:f>
              <c:numCache>
                <c:formatCode>0.0</c:formatCode>
                <c:ptCount val="19"/>
                <c:pt idx="0" formatCode="0.00">
                  <c:v>8.5500000000000007</c:v>
                </c:pt>
                <c:pt idx="1">
                  <c:v>9</c:v>
                </c:pt>
                <c:pt idx="2">
                  <c:v>9.5</c:v>
                </c:pt>
                <c:pt idx="3">
                  <c:v>10</c:v>
                </c:pt>
                <c:pt idx="4">
                  <c:v>10.5</c:v>
                </c:pt>
                <c:pt idx="5">
                  <c:v>11</c:v>
                </c:pt>
                <c:pt idx="6">
                  <c:v>11.5</c:v>
                </c:pt>
                <c:pt idx="7">
                  <c:v>12</c:v>
                </c:pt>
                <c:pt idx="8">
                  <c:v>12.5</c:v>
                </c:pt>
                <c:pt idx="9">
                  <c:v>13</c:v>
                </c:pt>
                <c:pt idx="10">
                  <c:v>13.5</c:v>
                </c:pt>
                <c:pt idx="11">
                  <c:v>14</c:v>
                </c:pt>
                <c:pt idx="12">
                  <c:v>14.5</c:v>
                </c:pt>
                <c:pt idx="13">
                  <c:v>15</c:v>
                </c:pt>
                <c:pt idx="14">
                  <c:v>15.5</c:v>
                </c:pt>
                <c:pt idx="15">
                  <c:v>16</c:v>
                </c:pt>
              </c:numCache>
            </c:numRef>
          </c:xVal>
          <c:yVal>
            <c:numRef>
              <c:f>'Input Control'!$I$4:$I$22</c:f>
              <c:numCache>
                <c:formatCode>0.0</c:formatCode>
                <c:ptCount val="19"/>
                <c:pt idx="0">
                  <c:v>816.93026390714635</c:v>
                </c:pt>
                <c:pt idx="1">
                  <c:v>843.15519906425732</c:v>
                </c:pt>
                <c:pt idx="2">
                  <c:v>872.29401590549185</c:v>
                </c:pt>
                <c:pt idx="3">
                  <c:v>901.43283274672626</c:v>
                </c:pt>
                <c:pt idx="4">
                  <c:v>930.57164958796079</c:v>
                </c:pt>
                <c:pt idx="5">
                  <c:v>959.71046642919532</c:v>
                </c:pt>
                <c:pt idx="6">
                  <c:v>988.84928327042985</c:v>
                </c:pt>
                <c:pt idx="7">
                  <c:v>1017.9881001116643</c:v>
                </c:pt>
                <c:pt idx="8">
                  <c:v>1047.1269169528987</c:v>
                </c:pt>
                <c:pt idx="9">
                  <c:v>1076.2657337941332</c:v>
                </c:pt>
                <c:pt idx="10">
                  <c:v>1105.4045506353677</c:v>
                </c:pt>
                <c:pt idx="11">
                  <c:v>1134.5433674766023</c:v>
                </c:pt>
                <c:pt idx="12">
                  <c:v>1163.6821843178368</c:v>
                </c:pt>
                <c:pt idx="13">
                  <c:v>1192.8210011590713</c:v>
                </c:pt>
                <c:pt idx="14">
                  <c:v>1221.9598180003059</c:v>
                </c:pt>
                <c:pt idx="15">
                  <c:v>1251.0986348415404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'Input Control'!$J$3</c:f>
              <c:strCache>
                <c:ptCount val="1"/>
                <c:pt idx="0">
                  <c:v>TSRmin for ERD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'Input Control'!$H$4:$H$22</c:f>
              <c:numCache>
                <c:formatCode>0.0</c:formatCode>
                <c:ptCount val="19"/>
                <c:pt idx="0" formatCode="0.00">
                  <c:v>8.5500000000000007</c:v>
                </c:pt>
                <c:pt idx="1">
                  <c:v>9</c:v>
                </c:pt>
                <c:pt idx="2">
                  <c:v>9.5</c:v>
                </c:pt>
                <c:pt idx="3">
                  <c:v>10</c:v>
                </c:pt>
                <c:pt idx="4">
                  <c:v>10.5</c:v>
                </c:pt>
                <c:pt idx="5">
                  <c:v>11</c:v>
                </c:pt>
                <c:pt idx="6">
                  <c:v>11.5</c:v>
                </c:pt>
                <c:pt idx="7">
                  <c:v>12</c:v>
                </c:pt>
                <c:pt idx="8">
                  <c:v>12.5</c:v>
                </c:pt>
                <c:pt idx="9">
                  <c:v>13</c:v>
                </c:pt>
                <c:pt idx="10">
                  <c:v>13.5</c:v>
                </c:pt>
                <c:pt idx="11">
                  <c:v>14</c:v>
                </c:pt>
                <c:pt idx="12">
                  <c:v>14.5</c:v>
                </c:pt>
                <c:pt idx="13">
                  <c:v>15</c:v>
                </c:pt>
                <c:pt idx="14">
                  <c:v>15.5</c:v>
                </c:pt>
                <c:pt idx="15">
                  <c:v>16</c:v>
                </c:pt>
              </c:numCache>
            </c:numRef>
          </c:xVal>
          <c:yVal>
            <c:numRef>
              <c:f>'Input Control'!$J$4:$J$22</c:f>
              <c:numCache>
                <c:formatCode>0</c:formatCode>
                <c:ptCount val="19"/>
                <c:pt idx="0">
                  <c:v>1089.2403518761951</c:v>
                </c:pt>
                <c:pt idx="1">
                  <c:v>1011.7862388771089</c:v>
                </c:pt>
                <c:pt idx="2">
                  <c:v>1046.7528190865903</c:v>
                </c:pt>
                <c:pt idx="3">
                  <c:v>1081.7193992960715</c:v>
                </c:pt>
                <c:pt idx="4">
                  <c:v>1116.685979505553</c:v>
                </c:pt>
                <c:pt idx="5">
                  <c:v>1151.6525597150344</c:v>
                </c:pt>
                <c:pt idx="6">
                  <c:v>1186.6191399245158</c:v>
                </c:pt>
                <c:pt idx="7">
                  <c:v>1221.585720133997</c:v>
                </c:pt>
                <c:pt idx="8">
                  <c:v>1256.5523003434782</c:v>
                </c:pt>
                <c:pt idx="9">
                  <c:v>1291.5188805529597</c:v>
                </c:pt>
                <c:pt idx="10">
                  <c:v>1326.4854607624411</c:v>
                </c:pt>
                <c:pt idx="11">
                  <c:v>1361.4520409719225</c:v>
                </c:pt>
                <c:pt idx="12">
                  <c:v>1396.418621181404</c:v>
                </c:pt>
                <c:pt idx="13">
                  <c:v>1431.3852013908854</c:v>
                </c:pt>
                <c:pt idx="14">
                  <c:v>1466.3517816003668</c:v>
                </c:pt>
                <c:pt idx="15">
                  <c:v>1501.3183618098483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'Input Control'!$M$3</c:f>
              <c:strCache>
                <c:ptCount val="1"/>
                <c:pt idx="0">
                  <c:v>Required Tmin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'Input Control'!$H$4:$H$22</c:f>
              <c:numCache>
                <c:formatCode>0.0</c:formatCode>
                <c:ptCount val="19"/>
                <c:pt idx="0" formatCode="0.00">
                  <c:v>8.5500000000000007</c:v>
                </c:pt>
                <c:pt idx="1">
                  <c:v>9</c:v>
                </c:pt>
                <c:pt idx="2">
                  <c:v>9.5</c:v>
                </c:pt>
                <c:pt idx="3">
                  <c:v>10</c:v>
                </c:pt>
                <c:pt idx="4">
                  <c:v>10.5</c:v>
                </c:pt>
                <c:pt idx="5">
                  <c:v>11</c:v>
                </c:pt>
                <c:pt idx="6">
                  <c:v>11.5</c:v>
                </c:pt>
                <c:pt idx="7">
                  <c:v>12</c:v>
                </c:pt>
                <c:pt idx="8">
                  <c:v>12.5</c:v>
                </c:pt>
                <c:pt idx="9">
                  <c:v>13</c:v>
                </c:pt>
                <c:pt idx="10">
                  <c:v>13.5</c:v>
                </c:pt>
                <c:pt idx="11">
                  <c:v>14</c:v>
                </c:pt>
                <c:pt idx="12">
                  <c:v>14.5</c:v>
                </c:pt>
                <c:pt idx="13">
                  <c:v>15</c:v>
                </c:pt>
                <c:pt idx="14">
                  <c:v>15.5</c:v>
                </c:pt>
                <c:pt idx="15">
                  <c:v>16</c:v>
                </c:pt>
              </c:numCache>
            </c:numRef>
          </c:xVal>
          <c:yVal>
            <c:numRef>
              <c:f>'Input Control'!$M$4:$M$22</c:f>
              <c:numCache>
                <c:formatCode>0.0</c:formatCode>
                <c:ptCount val="19"/>
              </c:numCache>
            </c:numRef>
          </c:yVal>
          <c:smooth val="0"/>
        </c:ser>
        <c:ser>
          <c:idx val="2"/>
          <c:order val="3"/>
          <c:tx>
            <c:strRef>
              <c:f>'Input Control'!$L$38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'Input Control'!$P$39:$P$40</c:f>
              <c:numCache>
                <c:formatCode>General</c:formatCode>
                <c:ptCount val="2"/>
                <c:pt idx="0">
                  <c:v>8</c:v>
                </c:pt>
                <c:pt idx="1">
                  <c:v>16</c:v>
                </c:pt>
              </c:numCache>
            </c:numRef>
          </c:xVal>
          <c:yVal>
            <c:numRef>
              <c:f>'Input Control'!$L$39:$L$40</c:f>
              <c:numCache>
                <c:formatCode>General</c:formatCode>
                <c:ptCount val="2"/>
                <c:pt idx="0">
                  <c:v>0</c:v>
                </c:pt>
                <c:pt idx="1">
                  <c:v>2475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'Input Control'!$M$38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'Input Control'!$P$39:$P$40</c:f>
              <c:numCache>
                <c:formatCode>General</c:formatCode>
                <c:ptCount val="2"/>
                <c:pt idx="0">
                  <c:v>8</c:v>
                </c:pt>
                <c:pt idx="1">
                  <c:v>16</c:v>
                </c:pt>
              </c:numCache>
            </c:numRef>
          </c:xVal>
          <c:yVal>
            <c:numRef>
              <c:f>'Input Control'!$M$39:$M$40</c:f>
              <c:numCache>
                <c:formatCode>General</c:formatCode>
                <c:ptCount val="2"/>
                <c:pt idx="0">
                  <c:v>0</c:v>
                </c:pt>
                <c:pt idx="1">
                  <c:v>1699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'Input Control'!$N$38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'Input Control'!$P$39:$P$40</c:f>
              <c:numCache>
                <c:formatCode>General</c:formatCode>
                <c:ptCount val="2"/>
                <c:pt idx="0">
                  <c:v>8</c:v>
                </c:pt>
                <c:pt idx="1">
                  <c:v>16</c:v>
                </c:pt>
              </c:numCache>
            </c:numRef>
          </c:xVal>
          <c:yVal>
            <c:numRef>
              <c:f>'Input Control'!$N$39:$N$40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1887.7777777777778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'Input Control'!$O$38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'Input Control'!$P$39:$P$40</c:f>
              <c:numCache>
                <c:formatCode>General</c:formatCode>
                <c:ptCount val="2"/>
                <c:pt idx="0">
                  <c:v>8</c:v>
                </c:pt>
                <c:pt idx="1">
                  <c:v>16</c:v>
                </c:pt>
              </c:numCache>
            </c:numRef>
          </c:xVal>
          <c:yVal>
            <c:numRef>
              <c:f>'Input Control'!$O$39:$O$40</c:f>
              <c:numCache>
                <c:formatCode>General</c:formatCode>
                <c:ptCount val="2"/>
                <c:pt idx="1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452032"/>
        <c:axId val="364452608"/>
      </c:scatterChart>
      <c:valAx>
        <c:axId val="364452032"/>
        <c:scaling>
          <c:orientation val="minMax"/>
          <c:max val="16"/>
          <c:min val="8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Mud Weight (ppg)</a:t>
                </a:r>
              </a:p>
            </c:rich>
          </c:tx>
          <c:layout>
            <c:manualLayout>
              <c:xMode val="edge"/>
              <c:yMode val="edge"/>
              <c:x val="0.44444517351997664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52608"/>
        <c:crosses val="autoZero"/>
        <c:crossBetween val="midCat"/>
      </c:valAx>
      <c:valAx>
        <c:axId val="364452608"/>
        <c:scaling>
          <c:orientation val="minMax"/>
          <c:max val="4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Tension (kips)</a:t>
                </a:r>
              </a:p>
            </c:rich>
          </c:tx>
          <c:layout>
            <c:manualLayout>
              <c:xMode val="edge"/>
              <c:yMode val="edge"/>
              <c:x val="2.0833333333333332E-2"/>
              <c:y val="0.334224598930481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520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236129337999415"/>
          <c:y val="7.3975044563279857E-2"/>
          <c:w val="0.5630792505103529"/>
          <c:h val="0.3458110516934046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Maximum Stress Intensity</a:t>
            </a:r>
          </a:p>
        </c:rich>
      </c:tx>
      <c:layout>
        <c:manualLayout>
          <c:xMode val="edge"/>
          <c:yMode val="edge"/>
          <c:x val="0.37719318642216704"/>
          <c:y val="1.5958005249343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2594133666584"/>
          <c:y val="9.3088103350997528E-2"/>
          <c:w val="0.70874728405432663"/>
          <c:h val="0.734066186425008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temp!$A$9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temp!$K$9:$K$17</c:f>
              <c:numCache>
                <c:formatCode>0.00</c:formatCode>
                <c:ptCount val="9"/>
                <c:pt idx="0">
                  <c:v>21.427</c:v>
                </c:pt>
                <c:pt idx="1">
                  <c:v>20.285</c:v>
                </c:pt>
                <c:pt idx="2">
                  <c:v>19.577999999999999</c:v>
                </c:pt>
                <c:pt idx="3">
                  <c:v>19.145</c:v>
                </c:pt>
                <c:pt idx="4">
                  <c:v>18.898</c:v>
                </c:pt>
                <c:pt idx="5">
                  <c:v>18.783999999999999</c:v>
                </c:pt>
                <c:pt idx="6">
                  <c:v>18.766999999999999</c:v>
                </c:pt>
                <c:pt idx="7">
                  <c:v>18.827000000000002</c:v>
                </c:pt>
                <c:pt idx="8">
                  <c:v>18.946000000000002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temp!$K$18:$K$26</c:f>
              <c:numCache>
                <c:formatCode>0.00</c:formatCode>
                <c:ptCount val="9"/>
                <c:pt idx="0">
                  <c:v>19.905000000000001</c:v>
                </c:pt>
                <c:pt idx="1">
                  <c:v>18.795000000000002</c:v>
                </c:pt>
                <c:pt idx="2">
                  <c:v>18.119</c:v>
                </c:pt>
                <c:pt idx="3">
                  <c:v>17.718</c:v>
                </c:pt>
                <c:pt idx="4">
                  <c:v>17.501000000000001</c:v>
                </c:pt>
                <c:pt idx="5">
                  <c:v>17.414000000000001</c:v>
                </c:pt>
                <c:pt idx="6">
                  <c:v>17.425000000000001</c:v>
                </c:pt>
                <c:pt idx="7">
                  <c:v>17.510999999999999</c:v>
                </c:pt>
                <c:pt idx="8">
                  <c:v>17.655000000000001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temp!$K$27:$K$35</c:f>
              <c:numCache>
                <c:formatCode>0.00</c:formatCode>
                <c:ptCount val="9"/>
                <c:pt idx="0">
                  <c:v>18.382999999999999</c:v>
                </c:pt>
                <c:pt idx="1">
                  <c:v>17.305</c:v>
                </c:pt>
                <c:pt idx="2">
                  <c:v>16.661000000000001</c:v>
                </c:pt>
                <c:pt idx="3">
                  <c:v>16.29</c:v>
                </c:pt>
                <c:pt idx="4">
                  <c:v>16.103000000000002</c:v>
                </c:pt>
                <c:pt idx="5">
                  <c:v>16.045000000000002</c:v>
                </c:pt>
                <c:pt idx="6">
                  <c:v>16.082999999999998</c:v>
                </c:pt>
                <c:pt idx="7">
                  <c:v>16.195</c:v>
                </c:pt>
                <c:pt idx="8">
                  <c:v>16.363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temp!$K$36:$K$44</c:f>
              <c:numCache>
                <c:formatCode>0.00</c:formatCode>
                <c:ptCount val="9"/>
                <c:pt idx="0">
                  <c:v>16.861999999999998</c:v>
                </c:pt>
                <c:pt idx="1">
                  <c:v>15.816000000000001</c:v>
                </c:pt>
                <c:pt idx="2">
                  <c:v>15.202999999999999</c:v>
                </c:pt>
                <c:pt idx="3">
                  <c:v>14.863</c:v>
                </c:pt>
                <c:pt idx="4">
                  <c:v>14.706</c:v>
                </c:pt>
                <c:pt idx="5">
                  <c:v>14.676</c:v>
                </c:pt>
                <c:pt idx="6">
                  <c:v>14.741</c:v>
                </c:pt>
                <c:pt idx="7">
                  <c:v>14.878</c:v>
                </c:pt>
                <c:pt idx="8">
                  <c:v>15.071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temp!$K$45:$K$53</c:f>
              <c:numCache>
                <c:formatCode>0.00</c:formatCode>
                <c:ptCount val="9"/>
                <c:pt idx="0">
                  <c:v>15.34</c:v>
                </c:pt>
                <c:pt idx="1">
                  <c:v>14.326000000000001</c:v>
                </c:pt>
                <c:pt idx="2">
                  <c:v>13.744999999999999</c:v>
                </c:pt>
                <c:pt idx="3">
                  <c:v>13.436</c:v>
                </c:pt>
                <c:pt idx="4">
                  <c:v>13.308</c:v>
                </c:pt>
                <c:pt idx="5">
                  <c:v>13.307</c:v>
                </c:pt>
                <c:pt idx="6">
                  <c:v>13.398999999999999</c:v>
                </c:pt>
                <c:pt idx="7">
                  <c:v>13.561999999999999</c:v>
                </c:pt>
                <c:pt idx="8">
                  <c:v>13.78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temp!$K$60:$K$68</c:f>
              <c:numCache>
                <c:formatCode>0.00</c:formatCode>
                <c:ptCount val="9"/>
                <c:pt idx="0">
                  <c:v>13.818</c:v>
                </c:pt>
                <c:pt idx="1">
                  <c:v>12.836</c:v>
                </c:pt>
                <c:pt idx="2">
                  <c:v>12.287000000000001</c:v>
                </c:pt>
                <c:pt idx="3">
                  <c:v>12.009</c:v>
                </c:pt>
                <c:pt idx="4">
                  <c:v>11.91</c:v>
                </c:pt>
                <c:pt idx="5">
                  <c:v>11.938000000000001</c:v>
                </c:pt>
                <c:pt idx="6">
                  <c:v>12.057</c:v>
                </c:pt>
                <c:pt idx="7">
                  <c:v>12.250999999999999</c:v>
                </c:pt>
                <c:pt idx="8">
                  <c:v>12.986000000000001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temp!$K$69:$K$77</c:f>
              <c:numCache>
                <c:formatCode>0.00</c:formatCode>
                <c:ptCount val="9"/>
                <c:pt idx="0">
                  <c:v>12.295999999999999</c:v>
                </c:pt>
                <c:pt idx="1">
                  <c:v>11.346</c:v>
                </c:pt>
                <c:pt idx="2">
                  <c:v>10.829000000000001</c:v>
                </c:pt>
                <c:pt idx="3">
                  <c:v>10.581</c:v>
                </c:pt>
                <c:pt idx="4">
                  <c:v>10.513</c:v>
                </c:pt>
                <c:pt idx="5">
                  <c:v>11.13</c:v>
                </c:pt>
                <c:pt idx="6">
                  <c:v>11.821</c:v>
                </c:pt>
                <c:pt idx="7">
                  <c:v>12.523</c:v>
                </c:pt>
                <c:pt idx="8">
                  <c:v>13.234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temp!$K$78:$K$86</c:f>
              <c:numCache>
                <c:formatCode>0.00</c:formatCode>
                <c:ptCount val="9"/>
                <c:pt idx="0">
                  <c:v>10.775</c:v>
                </c:pt>
                <c:pt idx="1">
                  <c:v>9.8559999999999999</c:v>
                </c:pt>
                <c:pt idx="2">
                  <c:v>9.516</c:v>
                </c:pt>
                <c:pt idx="3">
                  <c:v>10.164</c:v>
                </c:pt>
                <c:pt idx="4">
                  <c:v>10.807</c:v>
                </c:pt>
                <c:pt idx="5">
                  <c:v>11.457000000000001</c:v>
                </c:pt>
                <c:pt idx="6">
                  <c:v>12.118</c:v>
                </c:pt>
                <c:pt idx="7">
                  <c:v>12.794</c:v>
                </c:pt>
                <c:pt idx="8">
                  <c:v>13.483000000000001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temp!$K$87:$K$95</c:f>
              <c:numCache>
                <c:formatCode>0.00</c:formatCode>
                <c:ptCount val="9"/>
                <c:pt idx="0">
                  <c:v>9.2530000000000001</c:v>
                </c:pt>
                <c:pt idx="1">
                  <c:v>9.3460000000000001</c:v>
                </c:pt>
                <c:pt idx="2">
                  <c:v>9.968</c:v>
                </c:pt>
                <c:pt idx="3">
                  <c:v>10.567</c:v>
                </c:pt>
                <c:pt idx="4">
                  <c:v>11.39</c:v>
                </c:pt>
                <c:pt idx="5">
                  <c:v>12.188000000000001</c:v>
                </c:pt>
                <c:pt idx="6">
                  <c:v>12.907999999999999</c:v>
                </c:pt>
                <c:pt idx="7">
                  <c:v>13.574</c:v>
                </c:pt>
                <c:pt idx="8">
                  <c:v>14.199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temp!$A$96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temp!$K$96:$K$104</c:f>
              <c:numCache>
                <c:formatCode>0.00</c:formatCode>
                <c:ptCount val="9"/>
                <c:pt idx="0">
                  <c:v>9.2270000000000003</c:v>
                </c:pt>
                <c:pt idx="1">
                  <c:v>9.859</c:v>
                </c:pt>
                <c:pt idx="2">
                  <c:v>10.864000000000001</c:v>
                </c:pt>
                <c:pt idx="3">
                  <c:v>11.907999999999999</c:v>
                </c:pt>
                <c:pt idx="4">
                  <c:v>12.788</c:v>
                </c:pt>
                <c:pt idx="5">
                  <c:v>13.557</c:v>
                </c:pt>
                <c:pt idx="6">
                  <c:v>14.25</c:v>
                </c:pt>
                <c:pt idx="7">
                  <c:v>14.89</c:v>
                </c:pt>
                <c:pt idx="8">
                  <c:v>15.491</c:v>
                </c:pt>
              </c:numCache>
            </c:numRef>
          </c:yVal>
          <c:smooth val="0"/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temp!$AO$1:$AO$2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temp!$AS$6:$AS$7</c:f>
              <c:numCache>
                <c:formatCode>0.00</c:formatCode>
                <c:ptCount val="2"/>
                <c:pt idx="0">
                  <c:v>2152</c:v>
                </c:pt>
                <c:pt idx="1">
                  <c:v>2152</c:v>
                </c:pt>
              </c:numCache>
            </c:numRef>
          </c:xVal>
          <c:yVal>
            <c:numRef>
              <c:f>temp!$AR$1:$AR$2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</c:ser>
        <c:ser>
          <c:idx val="12"/>
          <c:order val="1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temp!$L$9:$L$17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13"/>
          <c:order val="1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temp!$L$18:$L$26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14"/>
          <c:order val="1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temp!$L$27:$L$35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15"/>
          <c:order val="1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temp!$L$36:$L$44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16"/>
          <c:order val="1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temp!$L$45:$L$53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17"/>
          <c:order val="1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temp!$L$60:$L$68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18"/>
          <c:order val="1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temp!$L$69:$L$77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19"/>
          <c:order val="19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temp!$L$78:$L$86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20"/>
          <c:order val="2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temp!$L$87:$L$95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21"/>
          <c:order val="2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temp!$L$96:$L$104</c:f>
              <c:numCache>
                <c:formatCode>0.00</c:formatCode>
                <c:ptCount val="9"/>
                <c:pt idx="0">
                  <c:v>5.5731182795698926</c:v>
                </c:pt>
                <c:pt idx="1">
                  <c:v>5.4430107526881724</c:v>
                </c:pt>
                <c:pt idx="2">
                  <c:v>5.3193548387096774</c:v>
                </c:pt>
                <c:pt idx="3">
                  <c:v>5.2021505376344086</c:v>
                </c:pt>
                <c:pt idx="4">
                  <c:v>5.0924731182795693</c:v>
                </c:pt>
                <c:pt idx="5">
                  <c:v>4.9870967741935486</c:v>
                </c:pt>
                <c:pt idx="6">
                  <c:v>4.8881720430107523</c:v>
                </c:pt>
                <c:pt idx="7">
                  <c:v>4.7946236559139779</c:v>
                </c:pt>
                <c:pt idx="8">
                  <c:v>4.7064516129032254</c:v>
                </c:pt>
              </c:numCache>
            </c:numRef>
          </c:yVal>
          <c:smooth val="1"/>
        </c:ser>
        <c:ser>
          <c:idx val="22"/>
          <c:order val="22"/>
          <c:tx>
            <c:v>SDSRLimit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temp!$AO$3:$AO$4</c:f>
              <c:numCache>
                <c:formatCode>General</c:formatCode>
                <c:ptCount val="2"/>
                <c:pt idx="0">
                  <c:v>6.9476609541454382</c:v>
                </c:pt>
                <c:pt idx="1">
                  <c:v>6.9476609541454382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1772032"/>
        <c:axId val="954703168"/>
      </c:scatterChart>
      <c:valAx>
        <c:axId val="921772032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6041719952791138"/>
              <c:y val="0.904284358072262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4703168"/>
        <c:crossesAt val="-20"/>
        <c:crossBetween val="midCat"/>
      </c:valAx>
      <c:valAx>
        <c:axId val="954703168"/>
        <c:scaling>
          <c:orientation val="minMax"/>
          <c:max val="50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 Stress Intensity (ksi)
Sig Dynamic Stress Range (ksi)</a:t>
                </a:r>
              </a:p>
            </c:rich>
          </c:tx>
          <c:layout>
            <c:manualLayout>
              <c:xMode val="edge"/>
              <c:yMode val="edge"/>
              <c:x val="2.4161778435413696E-2"/>
              <c:y val="0.194155079019377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1772032"/>
        <c:crossesAt val="0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ayout>
        <c:manualLayout>
          <c:xMode val="edge"/>
          <c:yMode val="edge"/>
          <c:x val="0.86577237951734187"/>
          <c:y val="8.2446915577880336E-2"/>
          <c:w val="0.12214773106368702"/>
          <c:h val="0.813830844091334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Bending Moment at Lower Flex Joint</a:t>
            </a:r>
          </a:p>
        </c:rich>
      </c:tx>
      <c:layout>
        <c:manualLayout>
          <c:xMode val="edge"/>
          <c:yMode val="edge"/>
          <c:x val="0.32534383202099737"/>
          <c:y val="3.19160104986876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67074882947069"/>
          <c:y val="9.8407423542483163E-2"/>
          <c:w val="0.72935683799705786"/>
          <c:h val="0.760662787382436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temp!$A$9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temp!$E$9:$E$17</c:f>
              <c:numCache>
                <c:formatCode>0.0</c:formatCode>
                <c:ptCount val="9"/>
                <c:pt idx="0">
                  <c:v>49.529000000000003</c:v>
                </c:pt>
                <c:pt idx="1">
                  <c:v>56.560400000000001</c:v>
                </c:pt>
                <c:pt idx="2">
                  <c:v>61.343099999999993</c:v>
                </c:pt>
                <c:pt idx="3">
                  <c:v>64.800399999999996</c:v>
                </c:pt>
                <c:pt idx="4">
                  <c:v>67.407600000000002</c:v>
                </c:pt>
                <c:pt idx="5">
                  <c:v>69.435699999999997</c:v>
                </c:pt>
                <c:pt idx="6">
                  <c:v>71.050599999999989</c:v>
                </c:pt>
                <c:pt idx="7">
                  <c:v>72.359499999999997</c:v>
                </c:pt>
                <c:pt idx="8">
                  <c:v>73.434300000000007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temp!$E$18:$E$26</c:f>
              <c:numCache>
                <c:formatCode>0.0</c:formatCode>
                <c:ptCount val="9"/>
                <c:pt idx="0">
                  <c:v>25.782300000000003</c:v>
                </c:pt>
                <c:pt idx="1">
                  <c:v>33.271599999999999</c:v>
                </c:pt>
                <c:pt idx="2">
                  <c:v>38.376199999999997</c:v>
                </c:pt>
                <c:pt idx="3">
                  <c:v>42.076699999999995</c:v>
                </c:pt>
                <c:pt idx="4">
                  <c:v>44.877900000000004</c:v>
                </c:pt>
                <c:pt idx="5">
                  <c:v>47.067099999999996</c:v>
                </c:pt>
                <c:pt idx="6">
                  <c:v>48.820599999999999</c:v>
                </c:pt>
                <c:pt idx="7">
                  <c:v>50.251800000000003</c:v>
                </c:pt>
                <c:pt idx="8">
                  <c:v>51.436800000000005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temp!$E$27:$E$35</c:f>
              <c:numCache>
                <c:formatCode>0.0</c:formatCode>
                <c:ptCount val="9"/>
                <c:pt idx="0">
                  <c:v>2.0356000000000001</c:v>
                </c:pt>
                <c:pt idx="1">
                  <c:v>9.9828700000000001</c:v>
                </c:pt>
                <c:pt idx="2">
                  <c:v>15.409300000000002</c:v>
                </c:pt>
                <c:pt idx="3">
                  <c:v>19.353000000000002</c:v>
                </c:pt>
                <c:pt idx="4">
                  <c:v>22.348100000000002</c:v>
                </c:pt>
                <c:pt idx="5">
                  <c:v>24.698600000000003</c:v>
                </c:pt>
                <c:pt idx="6">
                  <c:v>26.590599999999998</c:v>
                </c:pt>
                <c:pt idx="7">
                  <c:v>28.144099999999998</c:v>
                </c:pt>
                <c:pt idx="8">
                  <c:v>29.439199999999996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temp!$E$36:$E$44</c:f>
              <c:numCache>
                <c:formatCode>0.0</c:formatCode>
                <c:ptCount val="9"/>
                <c:pt idx="0">
                  <c:v>22.761899999999997</c:v>
                </c:pt>
                <c:pt idx="1">
                  <c:v>14.5707</c:v>
                </c:pt>
                <c:pt idx="2">
                  <c:v>9.0396999999999998</c:v>
                </c:pt>
                <c:pt idx="3">
                  <c:v>5.0658599999999998</c:v>
                </c:pt>
                <c:pt idx="4">
                  <c:v>2.0814299999999997</c:v>
                </c:pt>
                <c:pt idx="5">
                  <c:v>2.3300699999999996</c:v>
                </c:pt>
                <c:pt idx="6">
                  <c:v>4.3606699999999998</c:v>
                </c:pt>
                <c:pt idx="7">
                  <c:v>6.03634</c:v>
                </c:pt>
                <c:pt idx="8">
                  <c:v>7.4416799999999999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temp!$E$45:$E$53</c:f>
              <c:numCache>
                <c:formatCode>0.0</c:formatCode>
                <c:ptCount val="9"/>
                <c:pt idx="0">
                  <c:v>46.508600000000001</c:v>
                </c:pt>
                <c:pt idx="1">
                  <c:v>37.859499999999997</c:v>
                </c:pt>
                <c:pt idx="2">
                  <c:v>32.006599999999999</c:v>
                </c:pt>
                <c:pt idx="3">
                  <c:v>27.7895</c:v>
                </c:pt>
                <c:pt idx="4">
                  <c:v>24.6112</c:v>
                </c:pt>
                <c:pt idx="5">
                  <c:v>22.133200000000002</c:v>
                </c:pt>
                <c:pt idx="6">
                  <c:v>20.150100000000002</c:v>
                </c:pt>
                <c:pt idx="7">
                  <c:v>18.5288</c:v>
                </c:pt>
                <c:pt idx="8">
                  <c:v>17.179299999999998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temp!$E$60:$E$68</c:f>
              <c:numCache>
                <c:formatCode>0.0</c:formatCode>
                <c:ptCount val="9"/>
                <c:pt idx="0">
                  <c:v>70.255300000000005</c:v>
                </c:pt>
                <c:pt idx="1">
                  <c:v>61.148199999999996</c:v>
                </c:pt>
                <c:pt idx="2">
                  <c:v>54.973399999999991</c:v>
                </c:pt>
                <c:pt idx="3">
                  <c:v>50.513200000000005</c:v>
                </c:pt>
                <c:pt idx="4">
                  <c:v>47.140999999999998</c:v>
                </c:pt>
                <c:pt idx="5">
                  <c:v>44.501800000000003</c:v>
                </c:pt>
                <c:pt idx="6">
                  <c:v>42.380099999999999</c:v>
                </c:pt>
                <c:pt idx="7">
                  <c:v>40.636600000000001</c:v>
                </c:pt>
                <c:pt idx="8">
                  <c:v>39.176900000000003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temp!$E$69:$E$77</c:f>
              <c:numCache>
                <c:formatCode>0.0</c:formatCode>
                <c:ptCount val="9"/>
                <c:pt idx="0">
                  <c:v>94.001900000000006</c:v>
                </c:pt>
                <c:pt idx="1">
                  <c:v>84.436999999999998</c:v>
                </c:pt>
                <c:pt idx="2">
                  <c:v>77.940300000000008</c:v>
                </c:pt>
                <c:pt idx="3">
                  <c:v>73.236900000000006</c:v>
                </c:pt>
                <c:pt idx="4">
                  <c:v>69.670699999999997</c:v>
                </c:pt>
                <c:pt idx="5">
                  <c:v>66.8703</c:v>
                </c:pt>
                <c:pt idx="6">
                  <c:v>64.610100000000003</c:v>
                </c:pt>
                <c:pt idx="7">
                  <c:v>62.744299999999996</c:v>
                </c:pt>
                <c:pt idx="8">
                  <c:v>61.174399999999991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temp!$E$78:$E$86</c:f>
              <c:numCache>
                <c:formatCode>0.0</c:formatCode>
                <c:ptCount val="9"/>
                <c:pt idx="0">
                  <c:v>117.749</c:v>
                </c:pt>
                <c:pt idx="1">
                  <c:v>107.726</c:v>
                </c:pt>
                <c:pt idx="2">
                  <c:v>100.907</c:v>
                </c:pt>
                <c:pt idx="3">
                  <c:v>95.960599999999985</c:v>
                </c:pt>
                <c:pt idx="4">
                  <c:v>92.200500000000005</c:v>
                </c:pt>
                <c:pt idx="5">
                  <c:v>89.238799999999998</c:v>
                </c:pt>
                <c:pt idx="6">
                  <c:v>86.84</c:v>
                </c:pt>
                <c:pt idx="7">
                  <c:v>84.852000000000004</c:v>
                </c:pt>
                <c:pt idx="8">
                  <c:v>83.171899999999994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temp!$E$87:$E$95</c:f>
              <c:numCache>
                <c:formatCode>0.0</c:formatCode>
                <c:ptCount val="9"/>
                <c:pt idx="0">
                  <c:v>141.495</c:v>
                </c:pt>
                <c:pt idx="1">
                  <c:v>131.01499999999999</c:v>
                </c:pt>
                <c:pt idx="2">
                  <c:v>123.874</c:v>
                </c:pt>
                <c:pt idx="3">
                  <c:v>118.684</c:v>
                </c:pt>
                <c:pt idx="4">
                  <c:v>114.73</c:v>
                </c:pt>
                <c:pt idx="5">
                  <c:v>111.607</c:v>
                </c:pt>
                <c:pt idx="6">
                  <c:v>109.07</c:v>
                </c:pt>
                <c:pt idx="7">
                  <c:v>106.96</c:v>
                </c:pt>
                <c:pt idx="8">
                  <c:v>105.169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temp!$A$96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temp!$E$96:$E$104</c:f>
              <c:numCache>
                <c:formatCode>0.0</c:formatCode>
                <c:ptCount val="9"/>
                <c:pt idx="0">
                  <c:v>165.24199999999999</c:v>
                </c:pt>
                <c:pt idx="1">
                  <c:v>154.303</c:v>
                </c:pt>
                <c:pt idx="2">
                  <c:v>146.84100000000001</c:v>
                </c:pt>
                <c:pt idx="3">
                  <c:v>141.40799999999999</c:v>
                </c:pt>
                <c:pt idx="4">
                  <c:v>137.26</c:v>
                </c:pt>
                <c:pt idx="5">
                  <c:v>133.976</c:v>
                </c:pt>
                <c:pt idx="6">
                  <c:v>131.30000000000001</c:v>
                </c:pt>
                <c:pt idx="7">
                  <c:v>129.06699999999998</c:v>
                </c:pt>
                <c:pt idx="8">
                  <c:v>127.167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252672"/>
        <c:axId val="1271253248"/>
      </c:scatterChart>
      <c:valAx>
        <c:axId val="1271252672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493477515310586"/>
              <c:y val="0.914922935165019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253248"/>
        <c:crossesAt val="-20"/>
        <c:crossBetween val="midCat"/>
      </c:valAx>
      <c:valAx>
        <c:axId val="1271253248"/>
        <c:scaling>
          <c:orientation val="minMax"/>
          <c:max val="600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Bending Moment at LFJ (kip-ft)</a:t>
                </a:r>
              </a:p>
            </c:rich>
          </c:tx>
          <c:layout>
            <c:manualLayout>
              <c:xMode val="edge"/>
              <c:yMode val="edge"/>
              <c:x val="4.5334733158355227E-2"/>
              <c:y val="0.183516501926620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252672"/>
        <c:crossesAt val="0"/>
        <c:crossBetween val="midCat"/>
        <c:min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400112500146486"/>
          <c:y val="0.19414918829629882"/>
          <c:w val="0.12400016145854358"/>
          <c:h val="0.7978733765601321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Shear at Lower Flex Joint</a:t>
            </a:r>
          </a:p>
        </c:rich>
      </c:tx>
      <c:layout>
        <c:manualLayout>
          <c:xMode val="edge"/>
          <c:yMode val="edge"/>
          <c:x val="0.37651363672998822"/>
          <c:y val="1.86175797174289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444442340759579E-2"/>
          <c:y val="8.2449462968026396E-2"/>
          <c:w val="0.78106555359580865"/>
          <c:h val="0.787259388339864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temp!$A$9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temp!$F$9:$F$17</c:f>
              <c:numCache>
                <c:formatCode>0.0</c:formatCode>
                <c:ptCount val="9"/>
                <c:pt idx="0">
                  <c:v>12.717000000000001</c:v>
                </c:pt>
                <c:pt idx="1">
                  <c:v>18.100999999999999</c:v>
                </c:pt>
                <c:pt idx="2">
                  <c:v>23.498000000000001</c:v>
                </c:pt>
                <c:pt idx="3">
                  <c:v>28.905999999999999</c:v>
                </c:pt>
                <c:pt idx="4">
                  <c:v>34.325000000000003</c:v>
                </c:pt>
                <c:pt idx="5">
                  <c:v>39.753</c:v>
                </c:pt>
                <c:pt idx="6">
                  <c:v>45.19</c:v>
                </c:pt>
                <c:pt idx="7">
                  <c:v>50.634999999999998</c:v>
                </c:pt>
                <c:pt idx="8">
                  <c:v>56.085999999999999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temp!$F$18:$F$26</c:f>
              <c:numCache>
                <c:formatCode>0.0</c:formatCode>
                <c:ptCount val="9"/>
                <c:pt idx="0">
                  <c:v>6.5205999999999991</c:v>
                </c:pt>
                <c:pt idx="1">
                  <c:v>10.571</c:v>
                </c:pt>
                <c:pt idx="2">
                  <c:v>14.635999999999997</c:v>
                </c:pt>
                <c:pt idx="3">
                  <c:v>18.713999999999999</c:v>
                </c:pt>
                <c:pt idx="4">
                  <c:v>22.803000000000001</c:v>
                </c:pt>
                <c:pt idx="5">
                  <c:v>26.901000000000003</c:v>
                </c:pt>
                <c:pt idx="6">
                  <c:v>31.008999999999997</c:v>
                </c:pt>
                <c:pt idx="7">
                  <c:v>35.125</c:v>
                </c:pt>
                <c:pt idx="8">
                  <c:v>39.247999999999998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temp!$F$27:$F$35</c:f>
              <c:numCache>
                <c:formatCode>0.0</c:formatCode>
                <c:ptCount val="9"/>
                <c:pt idx="0">
                  <c:v>0.32440999999999998</c:v>
                </c:pt>
                <c:pt idx="1">
                  <c:v>3.0418000000000003</c:v>
                </c:pt>
                <c:pt idx="2">
                  <c:v>5.7752000000000008</c:v>
                </c:pt>
                <c:pt idx="3">
                  <c:v>8.5221</c:v>
                </c:pt>
                <c:pt idx="4">
                  <c:v>11.281000000000001</c:v>
                </c:pt>
                <c:pt idx="5">
                  <c:v>14.050000000000002</c:v>
                </c:pt>
                <c:pt idx="6">
                  <c:v>16.827999999999999</c:v>
                </c:pt>
                <c:pt idx="7">
                  <c:v>19.616</c:v>
                </c:pt>
                <c:pt idx="8">
                  <c:v>22.41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temp!$F$36:$F$44</c:f>
              <c:numCache>
                <c:formatCode>0.0</c:formatCode>
                <c:ptCount val="9"/>
                <c:pt idx="0">
                  <c:v>6.1683000000000003</c:v>
                </c:pt>
                <c:pt idx="1">
                  <c:v>4.9178000000000006</c:v>
                </c:pt>
                <c:pt idx="2">
                  <c:v>3.6783999999999999</c:v>
                </c:pt>
                <c:pt idx="3">
                  <c:v>2.4501999999999997</c:v>
                </c:pt>
                <c:pt idx="4">
                  <c:v>1.2324999999999999</c:v>
                </c:pt>
                <c:pt idx="5">
                  <c:v>1.198</c:v>
                </c:pt>
                <c:pt idx="6">
                  <c:v>2.6475</c:v>
                </c:pt>
                <c:pt idx="7">
                  <c:v>4.1060999999999996</c:v>
                </c:pt>
                <c:pt idx="8">
                  <c:v>5.5722000000000005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temp!$F$45:$F$53</c:f>
              <c:numCache>
                <c:formatCode>0.0</c:formatCode>
                <c:ptCount val="9"/>
                <c:pt idx="0">
                  <c:v>12.364000000000001</c:v>
                </c:pt>
                <c:pt idx="1">
                  <c:v>12.446999999999999</c:v>
                </c:pt>
                <c:pt idx="2">
                  <c:v>12.540000000000003</c:v>
                </c:pt>
                <c:pt idx="3">
                  <c:v>12.641999999999999</c:v>
                </c:pt>
                <c:pt idx="4">
                  <c:v>12.755000000000001</c:v>
                </c:pt>
                <c:pt idx="5">
                  <c:v>12.876000000000001</c:v>
                </c:pt>
                <c:pt idx="6">
                  <c:v>13.007</c:v>
                </c:pt>
                <c:pt idx="7">
                  <c:v>13.146000000000001</c:v>
                </c:pt>
                <c:pt idx="8">
                  <c:v>13.292000000000002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temp!$F$60:$F$68</c:f>
              <c:numCache>
                <c:formatCode>0.0</c:formatCode>
                <c:ptCount val="9"/>
                <c:pt idx="0">
                  <c:v>18.561</c:v>
                </c:pt>
                <c:pt idx="1">
                  <c:v>19.977</c:v>
                </c:pt>
                <c:pt idx="2">
                  <c:v>21.401</c:v>
                </c:pt>
                <c:pt idx="3">
                  <c:v>22.834</c:v>
                </c:pt>
                <c:pt idx="4">
                  <c:v>24.277000000000001</c:v>
                </c:pt>
                <c:pt idx="5">
                  <c:v>25.728000000000002</c:v>
                </c:pt>
                <c:pt idx="6">
                  <c:v>27.187999999999999</c:v>
                </c:pt>
                <c:pt idx="7">
                  <c:v>28.655000000000005</c:v>
                </c:pt>
                <c:pt idx="8">
                  <c:v>30.13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temp!$F$69:$F$77</c:f>
              <c:numCache>
                <c:formatCode>0.0</c:formatCode>
                <c:ptCount val="9"/>
                <c:pt idx="0">
                  <c:v>24.757000000000001</c:v>
                </c:pt>
                <c:pt idx="1">
                  <c:v>27.506000000000004</c:v>
                </c:pt>
                <c:pt idx="2">
                  <c:v>30.262</c:v>
                </c:pt>
                <c:pt idx="3">
                  <c:v>33.026000000000003</c:v>
                </c:pt>
                <c:pt idx="4">
                  <c:v>35.798999999999999</c:v>
                </c:pt>
                <c:pt idx="5">
                  <c:v>38.579000000000001</c:v>
                </c:pt>
                <c:pt idx="6">
                  <c:v>41.368000000000002</c:v>
                </c:pt>
                <c:pt idx="7">
                  <c:v>44.164999999999999</c:v>
                </c:pt>
                <c:pt idx="8">
                  <c:v>46.968000000000004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temp!$F$78:$F$86</c:f>
              <c:numCache>
                <c:formatCode>0.0</c:formatCode>
                <c:ptCount val="9"/>
                <c:pt idx="0">
                  <c:v>30.953000000000003</c:v>
                </c:pt>
                <c:pt idx="1">
                  <c:v>35.036000000000001</c:v>
                </c:pt>
                <c:pt idx="2">
                  <c:v>39.122999999999998</c:v>
                </c:pt>
                <c:pt idx="3">
                  <c:v>43.218000000000004</c:v>
                </c:pt>
                <c:pt idx="4">
                  <c:v>47.320999999999998</c:v>
                </c:pt>
                <c:pt idx="5">
                  <c:v>51.431000000000004</c:v>
                </c:pt>
                <c:pt idx="6">
                  <c:v>55.549000000000007</c:v>
                </c:pt>
                <c:pt idx="7">
                  <c:v>59.674000000000007</c:v>
                </c:pt>
                <c:pt idx="8">
                  <c:v>63.80599999999999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temp!$F$87:$F$95</c:f>
              <c:numCache>
                <c:formatCode>0.0</c:formatCode>
                <c:ptCount val="9"/>
                <c:pt idx="0">
                  <c:v>37.149000000000001</c:v>
                </c:pt>
                <c:pt idx="1">
                  <c:v>42.564999999999998</c:v>
                </c:pt>
                <c:pt idx="2">
                  <c:v>47.984999999999999</c:v>
                </c:pt>
                <c:pt idx="3">
                  <c:v>53.41</c:v>
                </c:pt>
                <c:pt idx="4">
                  <c:v>58.843000000000004</c:v>
                </c:pt>
                <c:pt idx="5">
                  <c:v>64.283000000000001</c:v>
                </c:pt>
                <c:pt idx="6">
                  <c:v>69.73</c:v>
                </c:pt>
                <c:pt idx="7">
                  <c:v>75.183999999999997</c:v>
                </c:pt>
                <c:pt idx="8">
                  <c:v>80.644000000000005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temp!$A$96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temp!$F$96:$F$104</c:f>
              <c:numCache>
                <c:formatCode>0.0</c:formatCode>
                <c:ptCount val="9"/>
                <c:pt idx="0">
                  <c:v>43.344999999999999</c:v>
                </c:pt>
                <c:pt idx="1">
                  <c:v>50.094999999999999</c:v>
                </c:pt>
                <c:pt idx="2">
                  <c:v>56.845999999999997</c:v>
                </c:pt>
                <c:pt idx="3">
                  <c:v>63.601999999999997</c:v>
                </c:pt>
                <c:pt idx="4">
                  <c:v>70.364999999999995</c:v>
                </c:pt>
                <c:pt idx="5">
                  <c:v>77.134</c:v>
                </c:pt>
                <c:pt idx="6">
                  <c:v>83.91</c:v>
                </c:pt>
                <c:pt idx="7">
                  <c:v>90.692999999999998</c:v>
                </c:pt>
                <c:pt idx="8">
                  <c:v>97.481999999999999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256128"/>
        <c:axId val="1271256704"/>
      </c:scatterChart>
      <c:valAx>
        <c:axId val="1271256128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3125497163321885"/>
              <c:y val="0.914922935165019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256704"/>
        <c:crossesAt val="-20"/>
        <c:crossBetween val="midCat"/>
      </c:valAx>
      <c:valAx>
        <c:axId val="1271256704"/>
        <c:scaling>
          <c:orientation val="minMax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Shear at Lower FJ (kips)</a:t>
                </a:r>
              </a:p>
            </c:rich>
          </c:tx>
          <c:layout>
            <c:manualLayout>
              <c:xMode val="edge"/>
              <c:yMode val="edge"/>
              <c:x val="6.6757075926256893E-3"/>
              <c:y val="0.2446886692354945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256128"/>
        <c:crossesAt val="0"/>
        <c:crossBetween val="midCat"/>
        <c:majorUnit val="20"/>
        <c:minorUnit val="1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049399198931909"/>
          <c:y val="0.19414918829629882"/>
          <c:w val="0.12149532710280374"/>
          <c:h val="0.7978733765601321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Lower Flex Joint Angle</a:t>
            </a:r>
          </a:p>
        </c:rich>
      </c:tx>
      <c:layout>
        <c:manualLayout>
          <c:xMode val="edge"/>
          <c:yMode val="edge"/>
          <c:x val="0.36022676600908771"/>
          <c:y val="3.19160104986876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991899727370227E-2"/>
          <c:y val="0.11968470430842537"/>
          <c:w val="0.76346555811715222"/>
          <c:h val="0.702150265276095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temp!$A$9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temp!$G$9:$G$17</c:f>
              <c:numCache>
                <c:formatCode>0.0</c:formatCode>
                <c:ptCount val="9"/>
                <c:pt idx="0">
                  <c:v>-2.4500000000000002</c:v>
                </c:pt>
                <c:pt idx="1">
                  <c:v>-2.8</c:v>
                </c:pt>
                <c:pt idx="2">
                  <c:v>-3.03</c:v>
                </c:pt>
                <c:pt idx="3">
                  <c:v>-3.2</c:v>
                </c:pt>
                <c:pt idx="4">
                  <c:v>-3.32</c:v>
                </c:pt>
                <c:pt idx="5">
                  <c:v>-3.42</c:v>
                </c:pt>
                <c:pt idx="6">
                  <c:v>-3.5</c:v>
                </c:pt>
                <c:pt idx="7">
                  <c:v>-3.56</c:v>
                </c:pt>
                <c:pt idx="8">
                  <c:v>-3.61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temp!$G$18:$G$26</c:f>
              <c:numCache>
                <c:formatCode>0.0</c:formatCode>
                <c:ptCount val="9"/>
                <c:pt idx="0">
                  <c:v>-1.26</c:v>
                </c:pt>
                <c:pt idx="1">
                  <c:v>-1.63</c:v>
                </c:pt>
                <c:pt idx="2">
                  <c:v>-1.88</c:v>
                </c:pt>
                <c:pt idx="3">
                  <c:v>-2.06</c:v>
                </c:pt>
                <c:pt idx="4">
                  <c:v>-2.2000000000000002</c:v>
                </c:pt>
                <c:pt idx="5">
                  <c:v>-2.2999999999999998</c:v>
                </c:pt>
                <c:pt idx="6">
                  <c:v>-2.38</c:v>
                </c:pt>
                <c:pt idx="7">
                  <c:v>-2.4500000000000002</c:v>
                </c:pt>
                <c:pt idx="8">
                  <c:v>-2.5099999999999998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temp!$G$27:$G$35</c:f>
              <c:numCache>
                <c:formatCode>0.00</c:formatCode>
                <c:ptCount val="9"/>
                <c:pt idx="0">
                  <c:v>-0.08</c:v>
                </c:pt>
                <c:pt idx="1">
                  <c:v>-0.47</c:v>
                </c:pt>
                <c:pt idx="2">
                  <c:v>-0.73</c:v>
                </c:pt>
                <c:pt idx="3">
                  <c:v>-0.93</c:v>
                </c:pt>
                <c:pt idx="4">
                  <c:v>-1.07</c:v>
                </c:pt>
                <c:pt idx="5">
                  <c:v>-1.18</c:v>
                </c:pt>
                <c:pt idx="6">
                  <c:v>-1.27</c:v>
                </c:pt>
                <c:pt idx="7">
                  <c:v>-1.35</c:v>
                </c:pt>
                <c:pt idx="8">
                  <c:v>-1.41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temp!$G$36:$G$44</c:f>
              <c:numCache>
                <c:formatCode>0.00</c:formatCode>
                <c:ptCount val="9"/>
                <c:pt idx="0">
                  <c:v>1.1100000000000001</c:v>
                </c:pt>
                <c:pt idx="1">
                  <c:v>0.7</c:v>
                </c:pt>
                <c:pt idx="2">
                  <c:v>0.41</c:v>
                </c:pt>
                <c:pt idx="3">
                  <c:v>0.21</c:v>
                </c:pt>
                <c:pt idx="4">
                  <c:v>0.06</c:v>
                </c:pt>
                <c:pt idx="5">
                  <c:v>-0.06</c:v>
                </c:pt>
                <c:pt idx="6">
                  <c:v>-0.16</c:v>
                </c:pt>
                <c:pt idx="7">
                  <c:v>-0.24</c:v>
                </c:pt>
                <c:pt idx="8">
                  <c:v>-0.31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temp!$G$45:$G$53</c:f>
              <c:numCache>
                <c:formatCode>0.00</c:formatCode>
                <c:ptCount val="9"/>
                <c:pt idx="0">
                  <c:v>2.2999999999999998</c:v>
                </c:pt>
                <c:pt idx="1">
                  <c:v>1.86</c:v>
                </c:pt>
                <c:pt idx="2">
                  <c:v>1.56</c:v>
                </c:pt>
                <c:pt idx="3">
                  <c:v>1.35</c:v>
                </c:pt>
                <c:pt idx="4">
                  <c:v>1.18</c:v>
                </c:pt>
                <c:pt idx="5">
                  <c:v>1.05</c:v>
                </c:pt>
                <c:pt idx="6">
                  <c:v>0.95</c:v>
                </c:pt>
                <c:pt idx="7" formatCode="General">
                  <c:v>0.87</c:v>
                </c:pt>
                <c:pt idx="8">
                  <c:v>0.79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temp!$G$60:$G$68</c:f>
              <c:numCache>
                <c:formatCode>0.00</c:formatCode>
                <c:ptCount val="9"/>
                <c:pt idx="0">
                  <c:v>3.49</c:v>
                </c:pt>
                <c:pt idx="1">
                  <c:v>3.03</c:v>
                </c:pt>
                <c:pt idx="2">
                  <c:v>2.71</c:v>
                </c:pt>
                <c:pt idx="3">
                  <c:v>2.48</c:v>
                </c:pt>
                <c:pt idx="4">
                  <c:v>2.31</c:v>
                </c:pt>
                <c:pt idx="5">
                  <c:v>2.17</c:v>
                </c:pt>
                <c:pt idx="6">
                  <c:v>2.06</c:v>
                </c:pt>
                <c:pt idx="7" formatCode="General">
                  <c:v>1.97</c:v>
                </c:pt>
                <c:pt idx="8" formatCode="General">
                  <c:v>1.89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temp!$G$69:$G$77</c:f>
              <c:numCache>
                <c:formatCode>0.00</c:formatCode>
                <c:ptCount val="9"/>
                <c:pt idx="0">
                  <c:v>4.67</c:v>
                </c:pt>
                <c:pt idx="1">
                  <c:v>4.1900000000000004</c:v>
                </c:pt>
                <c:pt idx="2">
                  <c:v>3.86</c:v>
                </c:pt>
                <c:pt idx="3">
                  <c:v>3.62</c:v>
                </c:pt>
                <c:pt idx="4">
                  <c:v>3.44</c:v>
                </c:pt>
                <c:pt idx="5">
                  <c:v>3.29</c:v>
                </c:pt>
                <c:pt idx="6">
                  <c:v>3.17</c:v>
                </c:pt>
                <c:pt idx="7" formatCode="General">
                  <c:v>3.08</c:v>
                </c:pt>
                <c:pt idx="8" formatCode="General">
                  <c:v>2.99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temp!$G$78:$G$86</c:f>
              <c:numCache>
                <c:formatCode>0.00</c:formatCode>
                <c:ptCount val="9"/>
                <c:pt idx="0">
                  <c:v>5.86</c:v>
                </c:pt>
                <c:pt idx="1">
                  <c:v>5.35</c:v>
                </c:pt>
                <c:pt idx="2">
                  <c:v>5.01</c:v>
                </c:pt>
                <c:pt idx="3">
                  <c:v>4.76</c:v>
                </c:pt>
                <c:pt idx="4">
                  <c:v>4.5599999999999996</c:v>
                </c:pt>
                <c:pt idx="5">
                  <c:v>4.41</c:v>
                </c:pt>
                <c:pt idx="6">
                  <c:v>4.28</c:v>
                </c:pt>
                <c:pt idx="7" formatCode="General">
                  <c:v>4.18</c:v>
                </c:pt>
                <c:pt idx="8" formatCode="General">
                  <c:v>4.09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temp!$G$87:$G$95</c:f>
              <c:numCache>
                <c:formatCode>0.00</c:formatCode>
                <c:ptCount val="9"/>
                <c:pt idx="0">
                  <c:v>7.05</c:v>
                </c:pt>
                <c:pt idx="1">
                  <c:v>6.52</c:v>
                </c:pt>
                <c:pt idx="2">
                  <c:v>6.16</c:v>
                </c:pt>
                <c:pt idx="3">
                  <c:v>5.89</c:v>
                </c:pt>
                <c:pt idx="4">
                  <c:v>5.69</c:v>
                </c:pt>
                <c:pt idx="5">
                  <c:v>5.53</c:v>
                </c:pt>
                <c:pt idx="6">
                  <c:v>5.4</c:v>
                </c:pt>
                <c:pt idx="7" formatCode="General">
                  <c:v>5.29</c:v>
                </c:pt>
                <c:pt idx="8" formatCode="General">
                  <c:v>5.19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temp!$A$96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temp!$G$96:$G$104</c:f>
              <c:numCache>
                <c:formatCode>0.00</c:formatCode>
                <c:ptCount val="9"/>
                <c:pt idx="0">
                  <c:v>8.24</c:v>
                </c:pt>
                <c:pt idx="1">
                  <c:v>7.68</c:v>
                </c:pt>
                <c:pt idx="2">
                  <c:v>7.3</c:v>
                </c:pt>
                <c:pt idx="3">
                  <c:v>7.03</c:v>
                </c:pt>
                <c:pt idx="4">
                  <c:v>6.82</c:v>
                </c:pt>
                <c:pt idx="5">
                  <c:v>6.65</c:v>
                </c:pt>
                <c:pt idx="6">
                  <c:v>6.51</c:v>
                </c:pt>
                <c:pt idx="7" formatCode="General">
                  <c:v>6.39</c:v>
                </c:pt>
                <c:pt idx="8" formatCode="General">
                  <c:v>6.29</c:v>
                </c:pt>
              </c:numCache>
            </c:numRef>
          </c:yVal>
          <c:smooth val="0"/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temp!$AM$1:$AM$2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1"/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temp!$AS$6:$AS$7</c:f>
              <c:numCache>
                <c:formatCode>0.00</c:formatCode>
                <c:ptCount val="2"/>
                <c:pt idx="0">
                  <c:v>2152</c:v>
                </c:pt>
                <c:pt idx="1">
                  <c:v>2152</c:v>
                </c:pt>
              </c:numCache>
            </c:numRef>
          </c:xVal>
          <c:yVal>
            <c:numRef>
              <c:f>temp!$AQ$1:$AQ$2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temp!$AP$1:$AP$2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358592"/>
        <c:axId val="1271359168"/>
      </c:scatterChart>
      <c:valAx>
        <c:axId val="1271358592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2340078457934704"/>
              <c:y val="0.890986206511420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359168"/>
        <c:crossesAt val="-20"/>
        <c:crossBetween val="midCat"/>
      </c:valAx>
      <c:valAx>
        <c:axId val="1271359168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 Lower FJA (deg)</a:t>
                </a:r>
              </a:p>
            </c:rich>
          </c:tx>
          <c:layout>
            <c:manualLayout>
              <c:xMode val="edge"/>
              <c:yMode val="edge"/>
              <c:x val="6.7207123303135502E-3"/>
              <c:y val="0.26064667448483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358592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5887209508371032"/>
          <c:y val="0.1090426947965514"/>
          <c:w val="0.12500016407321601"/>
          <c:h val="0.7819159090289293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Max Lower Flex Joint Angle</a:t>
            </a:r>
          </a:p>
        </c:rich>
      </c:tx>
      <c:layout>
        <c:manualLayout>
          <c:xMode val="edge"/>
          <c:yMode val="edge"/>
          <c:x val="0.35571597174514274"/>
          <c:y val="1.5958005249343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566437301936748E-2"/>
          <c:y val="0.10106708363822586"/>
          <c:w val="0.76109793571743023"/>
          <c:h val="0.718108225850552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temp!$A$9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temp!$H$9:$H$17</c:f>
              <c:numCache>
                <c:formatCode>0.0</c:formatCode>
                <c:ptCount val="9"/>
                <c:pt idx="0">
                  <c:v>-2.48</c:v>
                </c:pt>
                <c:pt idx="1">
                  <c:v>-2.83</c:v>
                </c:pt>
                <c:pt idx="2">
                  <c:v>-3.07</c:v>
                </c:pt>
                <c:pt idx="3">
                  <c:v>-3.24</c:v>
                </c:pt>
                <c:pt idx="4">
                  <c:v>-3.37</c:v>
                </c:pt>
                <c:pt idx="5">
                  <c:v>-3.47</c:v>
                </c:pt>
                <c:pt idx="6">
                  <c:v>-3.55</c:v>
                </c:pt>
                <c:pt idx="7">
                  <c:v>-3.62</c:v>
                </c:pt>
                <c:pt idx="8">
                  <c:v>-3.67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temp!$H$18:$H$26</c:f>
              <c:numCache>
                <c:formatCode>0.0</c:formatCode>
                <c:ptCount val="9"/>
                <c:pt idx="0">
                  <c:v>-1.29</c:v>
                </c:pt>
                <c:pt idx="1">
                  <c:v>-1.66</c:v>
                </c:pt>
                <c:pt idx="2">
                  <c:v>-1.92</c:v>
                </c:pt>
                <c:pt idx="3">
                  <c:v>-2.1</c:v>
                </c:pt>
                <c:pt idx="4">
                  <c:v>-2.2400000000000002</c:v>
                </c:pt>
                <c:pt idx="5">
                  <c:v>-2.35</c:v>
                </c:pt>
                <c:pt idx="6">
                  <c:v>-2.44</c:v>
                </c:pt>
                <c:pt idx="7">
                  <c:v>-2.5099999999999998</c:v>
                </c:pt>
                <c:pt idx="8">
                  <c:v>-2.57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temp!$H$27:$H$35</c:f>
              <c:numCache>
                <c:formatCode>0.00</c:formatCode>
                <c:ptCount val="9"/>
                <c:pt idx="0">
                  <c:v>-0.1</c:v>
                </c:pt>
                <c:pt idx="1">
                  <c:v>-0.5</c:v>
                </c:pt>
                <c:pt idx="2">
                  <c:v>-0.77</c:v>
                </c:pt>
                <c:pt idx="3">
                  <c:v>-0.97</c:v>
                </c:pt>
                <c:pt idx="4">
                  <c:v>-1.1200000000000001</c:v>
                </c:pt>
                <c:pt idx="5">
                  <c:v>-1.23</c:v>
                </c:pt>
                <c:pt idx="6">
                  <c:v>-1.33</c:v>
                </c:pt>
                <c:pt idx="7">
                  <c:v>-1.41</c:v>
                </c:pt>
                <c:pt idx="8">
                  <c:v>-1.47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temp!$H$36:$H$44</c:f>
              <c:numCache>
                <c:formatCode>0.00</c:formatCode>
                <c:ptCount val="9"/>
                <c:pt idx="0">
                  <c:v>1.1399999999999999</c:v>
                </c:pt>
                <c:pt idx="1">
                  <c:v>0.73</c:v>
                </c:pt>
                <c:pt idx="2">
                  <c:v>0.45</c:v>
                </c:pt>
                <c:pt idx="3">
                  <c:v>0.25</c:v>
                </c:pt>
                <c:pt idx="4">
                  <c:v>0.1</c:v>
                </c:pt>
                <c:pt idx="5">
                  <c:v>-0.12</c:v>
                </c:pt>
                <c:pt idx="6">
                  <c:v>-0.22</c:v>
                </c:pt>
                <c:pt idx="7">
                  <c:v>-0.3</c:v>
                </c:pt>
                <c:pt idx="8">
                  <c:v>-0.37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temp!$H$45:$H$53</c:f>
              <c:numCache>
                <c:formatCode>0.00</c:formatCode>
                <c:ptCount val="9"/>
                <c:pt idx="0">
                  <c:v>2.33</c:v>
                </c:pt>
                <c:pt idx="1">
                  <c:v>1.89</c:v>
                </c:pt>
                <c:pt idx="2">
                  <c:v>1.6</c:v>
                </c:pt>
                <c:pt idx="3">
                  <c:v>1.39</c:v>
                </c:pt>
                <c:pt idx="4">
                  <c:v>1.23</c:v>
                </c:pt>
                <c:pt idx="5">
                  <c:v>1.1100000000000001</c:v>
                </c:pt>
                <c:pt idx="6">
                  <c:v>1.01</c:v>
                </c:pt>
                <c:pt idx="7" formatCode="General">
                  <c:v>0.93</c:v>
                </c:pt>
                <c:pt idx="8" formatCode="General">
                  <c:v>0.86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temp!$H$60:$H$68</c:f>
              <c:numCache>
                <c:formatCode>0.00</c:formatCode>
                <c:ptCount val="9"/>
                <c:pt idx="0">
                  <c:v>3.51</c:v>
                </c:pt>
                <c:pt idx="1">
                  <c:v>3.06</c:v>
                </c:pt>
                <c:pt idx="2">
                  <c:v>2.75</c:v>
                </c:pt>
                <c:pt idx="3">
                  <c:v>2.5299999999999998</c:v>
                </c:pt>
                <c:pt idx="4">
                  <c:v>2.36</c:v>
                </c:pt>
                <c:pt idx="5">
                  <c:v>2.23</c:v>
                </c:pt>
                <c:pt idx="6">
                  <c:v>2.12</c:v>
                </c:pt>
                <c:pt idx="7" formatCode="General">
                  <c:v>2.0299999999999998</c:v>
                </c:pt>
                <c:pt idx="8" formatCode="General">
                  <c:v>1.96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temp!$H$69:$H$77</c:f>
              <c:numCache>
                <c:formatCode>0.00</c:formatCode>
                <c:ptCount val="9"/>
                <c:pt idx="0">
                  <c:v>4.7</c:v>
                </c:pt>
                <c:pt idx="1">
                  <c:v>4.22</c:v>
                </c:pt>
                <c:pt idx="2">
                  <c:v>3.9</c:v>
                </c:pt>
                <c:pt idx="3">
                  <c:v>3.66</c:v>
                </c:pt>
                <c:pt idx="4">
                  <c:v>3.48</c:v>
                </c:pt>
                <c:pt idx="5">
                  <c:v>3.34</c:v>
                </c:pt>
                <c:pt idx="6">
                  <c:v>3.23</c:v>
                </c:pt>
                <c:pt idx="7" formatCode="General">
                  <c:v>3.14</c:v>
                </c:pt>
                <c:pt idx="8" formatCode="General">
                  <c:v>3.06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temp!$H$78:$H$86</c:f>
              <c:numCache>
                <c:formatCode>0.00</c:formatCode>
                <c:ptCount val="9"/>
                <c:pt idx="0">
                  <c:v>5.89</c:v>
                </c:pt>
                <c:pt idx="1">
                  <c:v>5.39</c:v>
                </c:pt>
                <c:pt idx="2">
                  <c:v>5.05</c:v>
                </c:pt>
                <c:pt idx="3">
                  <c:v>4.8</c:v>
                </c:pt>
                <c:pt idx="4">
                  <c:v>4.6100000000000003</c:v>
                </c:pt>
                <c:pt idx="5">
                  <c:v>4.46</c:v>
                </c:pt>
                <c:pt idx="6">
                  <c:v>4.34</c:v>
                </c:pt>
                <c:pt idx="7" formatCode="General">
                  <c:v>4.24</c:v>
                </c:pt>
                <c:pt idx="8" formatCode="General">
                  <c:v>4.16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temp!$H$87:$H$95</c:f>
              <c:numCache>
                <c:formatCode>0.00</c:formatCode>
                <c:ptCount val="9"/>
                <c:pt idx="0">
                  <c:v>7.07</c:v>
                </c:pt>
                <c:pt idx="1">
                  <c:v>6.55</c:v>
                </c:pt>
                <c:pt idx="2">
                  <c:v>6.19</c:v>
                </c:pt>
                <c:pt idx="3">
                  <c:v>5.93</c:v>
                </c:pt>
                <c:pt idx="4">
                  <c:v>5.74</c:v>
                </c:pt>
                <c:pt idx="5">
                  <c:v>5.58</c:v>
                </c:pt>
                <c:pt idx="6">
                  <c:v>5.45</c:v>
                </c:pt>
                <c:pt idx="7" formatCode="General">
                  <c:v>5.35</c:v>
                </c:pt>
                <c:pt idx="8" formatCode="General">
                  <c:v>5.26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temp!$A$96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temp!$H$96:$H$104</c:f>
              <c:numCache>
                <c:formatCode>0.00</c:formatCode>
                <c:ptCount val="9"/>
                <c:pt idx="0">
                  <c:v>8.26</c:v>
                </c:pt>
                <c:pt idx="1">
                  <c:v>7.72</c:v>
                </c:pt>
                <c:pt idx="2">
                  <c:v>7.34</c:v>
                </c:pt>
                <c:pt idx="3">
                  <c:v>7.07</c:v>
                </c:pt>
                <c:pt idx="4">
                  <c:v>6.86</c:v>
                </c:pt>
                <c:pt idx="5">
                  <c:v>6.7</c:v>
                </c:pt>
                <c:pt idx="6">
                  <c:v>6.56</c:v>
                </c:pt>
                <c:pt idx="7" formatCode="General">
                  <c:v>6.45</c:v>
                </c:pt>
                <c:pt idx="8" formatCode="General">
                  <c:v>6.36</c:v>
                </c:pt>
              </c:numCache>
            </c:numRef>
          </c:yVal>
          <c:smooth val="0"/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temp!$AN$1:$AN$2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1"/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temp!$AS$6:$AS$7</c:f>
              <c:numCache>
                <c:formatCode>0.00</c:formatCode>
                <c:ptCount val="2"/>
                <c:pt idx="0">
                  <c:v>2152</c:v>
                </c:pt>
                <c:pt idx="1">
                  <c:v>2152</c:v>
                </c:pt>
              </c:numCache>
            </c:numRef>
          </c:xVal>
          <c:yVal>
            <c:numRef>
              <c:f>temp!$AQ$1:$AQ$2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temp!$AT$1:$AT$2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363200"/>
        <c:axId val="1271363776"/>
      </c:scatterChart>
      <c:valAx>
        <c:axId val="1271363200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2417446141379983"/>
              <c:y val="0.888326352822918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363776"/>
        <c:crossesAt val="-20"/>
        <c:crossBetween val="midCat"/>
      </c:valAx>
      <c:valAx>
        <c:axId val="1271363776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 Lower FJA (deg)</a:t>
                </a:r>
              </a:p>
            </c:rich>
          </c:tx>
          <c:layout>
            <c:manualLayout>
              <c:xMode val="edge"/>
              <c:yMode val="edge"/>
              <c:x val="6.7116912399372902E-3"/>
              <c:y val="0.25798710001675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1363200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6174553124051723"/>
          <c:y val="9.042564934348167E-2"/>
          <c:w val="0.12214773106368702"/>
          <c:h val="0.819149999935068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Upper Flex Joint Angle</a:t>
            </a:r>
          </a:p>
        </c:rich>
      </c:tx>
      <c:layout>
        <c:manualLayout>
          <c:xMode val="edge"/>
          <c:yMode val="edge"/>
          <c:x val="0.35437368986594808"/>
          <c:y val="1.86175797174289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539464097082694E-2"/>
          <c:y val="0.11436538411693976"/>
          <c:w val="0.75438631370934006"/>
          <c:h val="0.74736448690372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temp!$A$9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temp!$I$9:$I$17</c:f>
              <c:numCache>
                <c:formatCode>0.00</c:formatCode>
                <c:ptCount val="9"/>
                <c:pt idx="0">
                  <c:v>-8.75</c:v>
                </c:pt>
                <c:pt idx="1">
                  <c:v>-8.0399999999999991</c:v>
                </c:pt>
                <c:pt idx="2">
                  <c:v>-7.54</c:v>
                </c:pt>
                <c:pt idx="3">
                  <c:v>-7.16</c:v>
                </c:pt>
                <c:pt idx="4">
                  <c:v>-6.86</c:v>
                </c:pt>
                <c:pt idx="5">
                  <c:v>-6.62</c:v>
                </c:pt>
                <c:pt idx="6">
                  <c:v>-6.43</c:v>
                </c:pt>
                <c:pt idx="7">
                  <c:v>-6.27</c:v>
                </c:pt>
                <c:pt idx="8">
                  <c:v>-6.13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temp!$I$18:$I$26</c:f>
              <c:numCache>
                <c:formatCode>0.00</c:formatCode>
                <c:ptCount val="9"/>
                <c:pt idx="0">
                  <c:v>-7.82</c:v>
                </c:pt>
                <c:pt idx="1">
                  <c:v>-7.1</c:v>
                </c:pt>
                <c:pt idx="2">
                  <c:v>-6.58</c:v>
                </c:pt>
                <c:pt idx="3">
                  <c:v>-6.18</c:v>
                </c:pt>
                <c:pt idx="4">
                  <c:v>-5.88</c:v>
                </c:pt>
                <c:pt idx="5">
                  <c:v>-5.63</c:v>
                </c:pt>
                <c:pt idx="6">
                  <c:v>-5.43</c:v>
                </c:pt>
                <c:pt idx="7">
                  <c:v>-5.26</c:v>
                </c:pt>
                <c:pt idx="8" formatCode="General">
                  <c:v>-5.1100000000000003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temp!$I$27:$I$35</c:f>
              <c:numCache>
                <c:formatCode>0.00</c:formatCode>
                <c:ptCount val="9"/>
                <c:pt idx="0">
                  <c:v>-6.89</c:v>
                </c:pt>
                <c:pt idx="1">
                  <c:v>-6.15</c:v>
                </c:pt>
                <c:pt idx="2">
                  <c:v>-5.61</c:v>
                </c:pt>
                <c:pt idx="3">
                  <c:v>-5.21</c:v>
                </c:pt>
                <c:pt idx="4">
                  <c:v>-4.8899999999999997</c:v>
                </c:pt>
                <c:pt idx="5">
                  <c:v>-4.6399999999999997</c:v>
                </c:pt>
                <c:pt idx="6">
                  <c:v>-4.43</c:v>
                </c:pt>
                <c:pt idx="7">
                  <c:v>-4.25</c:v>
                </c:pt>
                <c:pt idx="8">
                  <c:v>-4.0999999999999996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temp!$I$36:$I$44</c:f>
              <c:numCache>
                <c:formatCode>0.00</c:formatCode>
                <c:ptCount val="9"/>
                <c:pt idx="0">
                  <c:v>-5.96</c:v>
                </c:pt>
                <c:pt idx="1">
                  <c:v>-5.2</c:v>
                </c:pt>
                <c:pt idx="2">
                  <c:v>-4.6500000000000004</c:v>
                </c:pt>
                <c:pt idx="3">
                  <c:v>-4.2300000000000004</c:v>
                </c:pt>
                <c:pt idx="4">
                  <c:v>-3.91</c:v>
                </c:pt>
                <c:pt idx="5">
                  <c:v>-3.64</c:v>
                </c:pt>
                <c:pt idx="6">
                  <c:v>-3.43</c:v>
                </c:pt>
                <c:pt idx="7">
                  <c:v>-3.24</c:v>
                </c:pt>
                <c:pt idx="8">
                  <c:v>-3.09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temp!$I$45:$I$53</c:f>
              <c:numCache>
                <c:formatCode>0.00</c:formatCode>
                <c:ptCount val="9"/>
                <c:pt idx="0">
                  <c:v>-5.03</c:v>
                </c:pt>
                <c:pt idx="1">
                  <c:v>-4.25</c:v>
                </c:pt>
                <c:pt idx="2">
                  <c:v>-3.69</c:v>
                </c:pt>
                <c:pt idx="3">
                  <c:v>-3.26</c:v>
                </c:pt>
                <c:pt idx="4">
                  <c:v>-2.92</c:v>
                </c:pt>
                <c:pt idx="5">
                  <c:v>-2.65</c:v>
                </c:pt>
                <c:pt idx="6">
                  <c:v>-2.42</c:v>
                </c:pt>
                <c:pt idx="7" formatCode="General">
                  <c:v>-2.23</c:v>
                </c:pt>
                <c:pt idx="8" formatCode="General">
                  <c:v>-2.0699999999999998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temp!$I$60:$I$68</c:f>
              <c:numCache>
                <c:formatCode>0.00</c:formatCode>
                <c:ptCount val="9"/>
                <c:pt idx="0">
                  <c:v>-4.0999999999999996</c:v>
                </c:pt>
                <c:pt idx="1">
                  <c:v>-3.3</c:v>
                </c:pt>
                <c:pt idx="2">
                  <c:v>-2.73</c:v>
                </c:pt>
                <c:pt idx="3">
                  <c:v>-2.2799999999999998</c:v>
                </c:pt>
                <c:pt idx="4">
                  <c:v>-1.94</c:v>
                </c:pt>
                <c:pt idx="5">
                  <c:v>-1.66</c:v>
                </c:pt>
                <c:pt idx="6">
                  <c:v>-1.42</c:v>
                </c:pt>
                <c:pt idx="7" formatCode="General">
                  <c:v>-1.23</c:v>
                </c:pt>
                <c:pt idx="8" formatCode="General">
                  <c:v>-1.06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temp!$I$69:$I$77</c:f>
              <c:numCache>
                <c:formatCode>0.00</c:formatCode>
                <c:ptCount val="9"/>
                <c:pt idx="0">
                  <c:v>-3.17</c:v>
                </c:pt>
                <c:pt idx="1">
                  <c:v>-2.36</c:v>
                </c:pt>
                <c:pt idx="2">
                  <c:v>-1.76</c:v>
                </c:pt>
                <c:pt idx="3">
                  <c:v>-1.31</c:v>
                </c:pt>
                <c:pt idx="4">
                  <c:v>-0.95</c:v>
                </c:pt>
                <c:pt idx="5">
                  <c:v>-0.66</c:v>
                </c:pt>
                <c:pt idx="6">
                  <c:v>-0.42</c:v>
                </c:pt>
                <c:pt idx="7" formatCode="General">
                  <c:v>-0.22</c:v>
                </c:pt>
                <c:pt idx="8" formatCode="General">
                  <c:v>-0.05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temp!$I$78:$I$86</c:f>
              <c:numCache>
                <c:formatCode>0.00</c:formatCode>
                <c:ptCount val="9"/>
                <c:pt idx="0">
                  <c:v>-2.2400000000000002</c:v>
                </c:pt>
                <c:pt idx="1">
                  <c:v>-1.41</c:v>
                </c:pt>
                <c:pt idx="2">
                  <c:v>-0.8</c:v>
                </c:pt>
                <c:pt idx="3">
                  <c:v>-0.33</c:v>
                </c:pt>
                <c:pt idx="4">
                  <c:v>0.03</c:v>
                </c:pt>
                <c:pt idx="5">
                  <c:v>0.33</c:v>
                </c:pt>
                <c:pt idx="6">
                  <c:v>0.57999999999999996</c:v>
                </c:pt>
                <c:pt idx="7" formatCode="General">
                  <c:v>0.79</c:v>
                </c:pt>
                <c:pt idx="8" formatCode="General">
                  <c:v>0.97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temp!$I$87:$I$95</c:f>
              <c:numCache>
                <c:formatCode>0.00</c:formatCode>
                <c:ptCount val="9"/>
                <c:pt idx="0">
                  <c:v>-1.31</c:v>
                </c:pt>
                <c:pt idx="1">
                  <c:v>-0.46</c:v>
                </c:pt>
                <c:pt idx="2">
                  <c:v>0.16</c:v>
                </c:pt>
                <c:pt idx="3">
                  <c:v>0.64</c:v>
                </c:pt>
                <c:pt idx="4">
                  <c:v>1.02</c:v>
                </c:pt>
                <c:pt idx="5">
                  <c:v>1.33</c:v>
                </c:pt>
                <c:pt idx="6">
                  <c:v>1.58</c:v>
                </c:pt>
                <c:pt idx="7" formatCode="General">
                  <c:v>1.8</c:v>
                </c:pt>
                <c:pt idx="8" formatCode="General">
                  <c:v>1.98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temp!$A$96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temp!$I$96:$I$104</c:f>
              <c:numCache>
                <c:formatCode>0.00</c:formatCode>
                <c:ptCount val="9"/>
                <c:pt idx="0">
                  <c:v>-0.38</c:v>
                </c:pt>
                <c:pt idx="1">
                  <c:v>0.49</c:v>
                </c:pt>
                <c:pt idx="2">
                  <c:v>1.1299999999999999</c:v>
                </c:pt>
                <c:pt idx="3">
                  <c:v>1.61</c:v>
                </c:pt>
                <c:pt idx="4">
                  <c:v>2</c:v>
                </c:pt>
                <c:pt idx="5">
                  <c:v>2.3199999999999998</c:v>
                </c:pt>
                <c:pt idx="6">
                  <c:v>2.58</c:v>
                </c:pt>
                <c:pt idx="7" formatCode="General">
                  <c:v>2.8</c:v>
                </c:pt>
                <c:pt idx="8" formatCode="General">
                  <c:v>2.99</c:v>
                </c:pt>
              </c:numCache>
            </c:numRef>
          </c:yVal>
          <c:smooth val="0"/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temp!$AM$1:$AM$2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1"/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temp!$AS$6:$AS$7</c:f>
              <c:numCache>
                <c:formatCode>0.00</c:formatCode>
                <c:ptCount val="2"/>
                <c:pt idx="0">
                  <c:v>2152</c:v>
                </c:pt>
                <c:pt idx="1">
                  <c:v>2152</c:v>
                </c:pt>
              </c:numCache>
            </c:numRef>
          </c:xVal>
          <c:yVal>
            <c:numRef>
              <c:f>temp!$AQ$1:$AQ$2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temp!$AP$1:$AP$2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039680"/>
        <c:axId val="1274043712"/>
      </c:scatterChart>
      <c:valAx>
        <c:axId val="1274039680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1612062921665005"/>
              <c:y val="0.914922935165019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4043712"/>
        <c:crossesAt val="-20"/>
        <c:crossBetween val="midCat"/>
      </c:valAx>
      <c:valAx>
        <c:axId val="1274043712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 Upper FJA (deg)</a:t>
                </a:r>
              </a:p>
            </c:rich>
          </c:tx>
          <c:layout>
            <c:manualLayout>
              <c:xMode val="edge"/>
              <c:yMode val="edge"/>
              <c:x val="1.2080959678697881E-2"/>
              <c:y val="0.2712852515775952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4039680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6443009675840032"/>
          <c:y val="0.11436185064028559"/>
          <c:w val="0.12214773106368702"/>
          <c:h val="0.811171266169467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Max Upper Flex Joint Angle</a:t>
            </a:r>
          </a:p>
        </c:rich>
      </c:tx>
      <c:layout>
        <c:manualLayout>
          <c:xMode val="edge"/>
          <c:yMode val="edge"/>
          <c:x val="0.36376994486427455"/>
          <c:y val="1.5958005249343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224112900318697E-2"/>
          <c:y val="9.0428443255254745E-2"/>
          <c:w val="0.76244026011904864"/>
          <c:h val="0.779280408052636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temp!$A$9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temp!$J$9:$J$17</c:f>
              <c:numCache>
                <c:formatCode>0.00</c:formatCode>
                <c:ptCount val="9"/>
                <c:pt idx="0">
                  <c:v>-12.65</c:v>
                </c:pt>
                <c:pt idx="1">
                  <c:v>-11.97</c:v>
                </c:pt>
                <c:pt idx="2">
                  <c:v>-11.49</c:v>
                </c:pt>
                <c:pt idx="3">
                  <c:v>-11.12</c:v>
                </c:pt>
                <c:pt idx="4">
                  <c:v>-10.84</c:v>
                </c:pt>
                <c:pt idx="5">
                  <c:v>-10.61</c:v>
                </c:pt>
                <c:pt idx="6">
                  <c:v>-10.42</c:v>
                </c:pt>
                <c:pt idx="7">
                  <c:v>-10.27</c:v>
                </c:pt>
                <c:pt idx="8">
                  <c:v>-10.14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temp!$J$18:$J$26</c:f>
              <c:numCache>
                <c:formatCode>0.00</c:formatCode>
                <c:ptCount val="9"/>
                <c:pt idx="0">
                  <c:v>-11.72</c:v>
                </c:pt>
                <c:pt idx="1">
                  <c:v>-11.02</c:v>
                </c:pt>
                <c:pt idx="2">
                  <c:v>-10.52</c:v>
                </c:pt>
                <c:pt idx="3">
                  <c:v>-10.15</c:v>
                </c:pt>
                <c:pt idx="4">
                  <c:v>-9.85</c:v>
                </c:pt>
                <c:pt idx="5">
                  <c:v>-9.6199999999999992</c:v>
                </c:pt>
                <c:pt idx="6">
                  <c:v>-9.42</c:v>
                </c:pt>
                <c:pt idx="7">
                  <c:v>-9.26</c:v>
                </c:pt>
                <c:pt idx="8" formatCode="General">
                  <c:v>-9.1199999999999992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temp!$B$27:$B$35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temp!$J$27:$J$35</c:f>
              <c:numCache>
                <c:formatCode>0.00</c:formatCode>
                <c:ptCount val="9"/>
                <c:pt idx="0">
                  <c:v>-10.79</c:v>
                </c:pt>
                <c:pt idx="1">
                  <c:v>-10.08</c:v>
                </c:pt>
                <c:pt idx="2">
                  <c:v>-9.56</c:v>
                </c:pt>
                <c:pt idx="3">
                  <c:v>-9.17</c:v>
                </c:pt>
                <c:pt idx="4">
                  <c:v>-8.8699999999999992</c:v>
                </c:pt>
                <c:pt idx="5">
                  <c:v>-8.6199999999999992</c:v>
                </c:pt>
                <c:pt idx="6">
                  <c:v>-8.42</c:v>
                </c:pt>
                <c:pt idx="7">
                  <c:v>-8.25</c:v>
                </c:pt>
                <c:pt idx="8">
                  <c:v>-8.11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temp!$B$36:$B$44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temp!$J$36:$J$44</c:f>
              <c:numCache>
                <c:formatCode>0.00</c:formatCode>
                <c:ptCount val="9"/>
                <c:pt idx="0">
                  <c:v>-9.86</c:v>
                </c:pt>
                <c:pt idx="1">
                  <c:v>-9.1300000000000008</c:v>
                </c:pt>
                <c:pt idx="2">
                  <c:v>-8.6</c:v>
                </c:pt>
                <c:pt idx="3">
                  <c:v>-8.1999999999999993</c:v>
                </c:pt>
                <c:pt idx="4">
                  <c:v>-7.88</c:v>
                </c:pt>
                <c:pt idx="5">
                  <c:v>-7.63</c:v>
                </c:pt>
                <c:pt idx="6">
                  <c:v>-7.42</c:v>
                </c:pt>
                <c:pt idx="7">
                  <c:v>-7.24</c:v>
                </c:pt>
                <c:pt idx="8">
                  <c:v>-7.1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temp!$B$45:$B$53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temp!$J$45:$J$53</c:f>
              <c:numCache>
                <c:formatCode>0.00</c:formatCode>
                <c:ptCount val="9"/>
                <c:pt idx="0">
                  <c:v>-8.93</c:v>
                </c:pt>
                <c:pt idx="1">
                  <c:v>-8.18</c:v>
                </c:pt>
                <c:pt idx="2">
                  <c:v>-7.63</c:v>
                </c:pt>
                <c:pt idx="3">
                  <c:v>-7.22</c:v>
                </c:pt>
                <c:pt idx="4">
                  <c:v>-6.9</c:v>
                </c:pt>
                <c:pt idx="5">
                  <c:v>-6.63</c:v>
                </c:pt>
                <c:pt idx="6">
                  <c:v>-6.42</c:v>
                </c:pt>
                <c:pt idx="7" formatCode="General">
                  <c:v>-6.24</c:v>
                </c:pt>
                <c:pt idx="8" formatCode="General">
                  <c:v>-6.08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temp!$B$60:$B$68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temp!$J$60:$J$68</c:f>
              <c:numCache>
                <c:formatCode>0.00</c:formatCode>
                <c:ptCount val="9"/>
                <c:pt idx="0">
                  <c:v>-8</c:v>
                </c:pt>
                <c:pt idx="1">
                  <c:v>-7.23</c:v>
                </c:pt>
                <c:pt idx="2">
                  <c:v>-6.67</c:v>
                </c:pt>
                <c:pt idx="3">
                  <c:v>-6.25</c:v>
                </c:pt>
                <c:pt idx="4">
                  <c:v>-5.91</c:v>
                </c:pt>
                <c:pt idx="5">
                  <c:v>-5.64</c:v>
                </c:pt>
                <c:pt idx="6">
                  <c:v>-5.42</c:v>
                </c:pt>
                <c:pt idx="7" formatCode="General">
                  <c:v>-5.23</c:v>
                </c:pt>
                <c:pt idx="8" formatCode="General">
                  <c:v>-5.07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temp!$B$69:$B$77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temp!$J$69:$J$77</c:f>
              <c:numCache>
                <c:formatCode>0.00</c:formatCode>
                <c:ptCount val="9"/>
                <c:pt idx="0">
                  <c:v>-7.07</c:v>
                </c:pt>
                <c:pt idx="1">
                  <c:v>-6.28</c:v>
                </c:pt>
                <c:pt idx="2">
                  <c:v>-5.71</c:v>
                </c:pt>
                <c:pt idx="3">
                  <c:v>-5.27</c:v>
                </c:pt>
                <c:pt idx="4">
                  <c:v>-4.93</c:v>
                </c:pt>
                <c:pt idx="5">
                  <c:v>-4.6500000000000004</c:v>
                </c:pt>
                <c:pt idx="6">
                  <c:v>-4.42</c:v>
                </c:pt>
                <c:pt idx="7" formatCode="General">
                  <c:v>-4.22</c:v>
                </c:pt>
                <c:pt idx="8" formatCode="General">
                  <c:v>-4.0599999999999996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temp!$B$78:$B$86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temp!$J$78:$J$86</c:f>
              <c:numCache>
                <c:formatCode>0.00</c:formatCode>
                <c:ptCount val="9"/>
                <c:pt idx="0">
                  <c:v>-6.14</c:v>
                </c:pt>
                <c:pt idx="1">
                  <c:v>-5.34</c:v>
                </c:pt>
                <c:pt idx="2">
                  <c:v>-4.75</c:v>
                </c:pt>
                <c:pt idx="3">
                  <c:v>-4.3</c:v>
                </c:pt>
                <c:pt idx="4">
                  <c:v>4.01</c:v>
                </c:pt>
                <c:pt idx="5">
                  <c:v>4.32</c:v>
                </c:pt>
                <c:pt idx="6">
                  <c:v>4.57</c:v>
                </c:pt>
                <c:pt idx="7" formatCode="General">
                  <c:v>4.79</c:v>
                </c:pt>
                <c:pt idx="8" formatCode="General">
                  <c:v>4.9800000000000004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temp!$B$87:$B$95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temp!$J$87:$J$95</c:f>
              <c:numCache>
                <c:formatCode>0.00</c:formatCode>
                <c:ptCount val="9"/>
                <c:pt idx="0">
                  <c:v>-5.21</c:v>
                </c:pt>
                <c:pt idx="1">
                  <c:v>-4.3899999999999997</c:v>
                </c:pt>
                <c:pt idx="2">
                  <c:v>4.1100000000000003</c:v>
                </c:pt>
                <c:pt idx="3">
                  <c:v>4.5999999999999996</c:v>
                </c:pt>
                <c:pt idx="4">
                  <c:v>4.99</c:v>
                </c:pt>
                <c:pt idx="5">
                  <c:v>5.31</c:v>
                </c:pt>
                <c:pt idx="6">
                  <c:v>5.57</c:v>
                </c:pt>
                <c:pt idx="7" formatCode="General">
                  <c:v>5.8</c:v>
                </c:pt>
                <c:pt idx="8" formatCode="General">
                  <c:v>5.99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temp!$A$96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temp!$B$96:$B$104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temp!$J$96:$J$104</c:f>
              <c:numCache>
                <c:formatCode>0.00</c:formatCode>
                <c:ptCount val="9"/>
                <c:pt idx="0">
                  <c:v>-4.29</c:v>
                </c:pt>
                <c:pt idx="1">
                  <c:v>4.42</c:v>
                </c:pt>
                <c:pt idx="2">
                  <c:v>5.07</c:v>
                </c:pt>
                <c:pt idx="3">
                  <c:v>5.58</c:v>
                </c:pt>
                <c:pt idx="4">
                  <c:v>5.98</c:v>
                </c:pt>
                <c:pt idx="5">
                  <c:v>6.3</c:v>
                </c:pt>
                <c:pt idx="6">
                  <c:v>6.58</c:v>
                </c:pt>
                <c:pt idx="7" formatCode="General">
                  <c:v>6.81</c:v>
                </c:pt>
                <c:pt idx="8" formatCode="General">
                  <c:v>7</c:v>
                </c:pt>
              </c:numCache>
            </c:numRef>
          </c:yVal>
          <c:smooth val="0"/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temp!$AN$1:$AN$2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1"/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temp!$AS$6:$AS$7</c:f>
              <c:numCache>
                <c:formatCode>0.00</c:formatCode>
                <c:ptCount val="2"/>
                <c:pt idx="0">
                  <c:v>2152</c:v>
                </c:pt>
                <c:pt idx="1">
                  <c:v>2152</c:v>
                </c:pt>
              </c:numCache>
            </c:numRef>
          </c:xVal>
          <c:yVal>
            <c:numRef>
              <c:f>temp!$AQ$1:$AQ$2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temp!$AL$1:$AL$2</c:f>
              <c:numCache>
                <c:formatCode>General</c:formatCode>
                <c:ptCount val="2"/>
                <c:pt idx="0">
                  <c:v>0</c:v>
                </c:pt>
                <c:pt idx="1">
                  <c:v>968</c:v>
                </c:pt>
              </c:numCache>
            </c:numRef>
          </c:xVal>
          <c:yVal>
            <c:numRef>
              <c:f>temp!$AT$1:$AT$2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384320"/>
        <c:axId val="1349713920"/>
      </c:scatterChart>
      <c:valAx>
        <c:axId val="1275384320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2148989765541062"/>
              <c:y val="0.914922935165019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9713920"/>
        <c:crossesAt val="-20"/>
        <c:crossBetween val="midCat"/>
      </c:valAx>
      <c:valAx>
        <c:axId val="1349713920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 Upper FJA (deg)</a:t>
                </a:r>
              </a:p>
            </c:rich>
          </c:tx>
          <c:layout>
            <c:manualLayout>
              <c:xMode val="edge"/>
              <c:yMode val="edge"/>
              <c:x val="6.7116912399372902E-3"/>
              <c:y val="0.27926425420226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5384320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6040324848157546"/>
          <c:y val="9.8404383109083005E-2"/>
          <c:w val="0.12483229658157023"/>
          <c:h val="0.829788311622537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Actual and Effective Tension at Lower Flex Joint</a:t>
            </a:r>
          </a:p>
        </c:rich>
      </c:tx>
      <c:layout>
        <c:manualLayout>
          <c:xMode val="edge"/>
          <c:yMode val="edge"/>
          <c:x val="0.26836608040817328"/>
          <c:y val="1.86175797174289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120216303116866E-2"/>
          <c:y val="7.4470482680797992E-2"/>
          <c:w val="0.76904916046356586"/>
          <c:h val="0.78725938833986442"/>
        </c:manualLayout>
      </c:layout>
      <c:scatterChart>
        <c:scatterStyle val="smoothMarker"/>
        <c:varyColors val="0"/>
        <c:ser>
          <c:idx val="0"/>
          <c:order val="0"/>
          <c:tx>
            <c:v>Actual Tension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temp!$B$9:$B$17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temp!$C$9:$C$17</c:f>
              <c:numCache>
                <c:formatCode>0</c:formatCode>
                <c:ptCount val="9"/>
                <c:pt idx="0">
                  <c:v>116.928</c:v>
                </c:pt>
                <c:pt idx="1">
                  <c:v>182.928</c:v>
                </c:pt>
                <c:pt idx="2">
                  <c:v>248.928</c:v>
                </c:pt>
                <c:pt idx="3">
                  <c:v>314.928</c:v>
                </c:pt>
                <c:pt idx="4">
                  <c:v>380.928</c:v>
                </c:pt>
                <c:pt idx="5">
                  <c:v>446.928</c:v>
                </c:pt>
                <c:pt idx="6">
                  <c:v>512.928</c:v>
                </c:pt>
                <c:pt idx="7">
                  <c:v>578.928</c:v>
                </c:pt>
                <c:pt idx="8">
                  <c:v>644.928</c:v>
                </c:pt>
              </c:numCache>
            </c:numRef>
          </c:yVal>
          <c:smooth val="0"/>
        </c:ser>
        <c:ser>
          <c:idx val="1"/>
          <c:order val="1"/>
          <c:tx>
            <c:v>Effective Tension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temp!$B$18:$B$26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xVal>
          <c:yVal>
            <c:numRef>
              <c:f>temp!$D$18:$D$26</c:f>
              <c:numCache>
                <c:formatCode>0</c:formatCode>
                <c:ptCount val="9"/>
                <c:pt idx="0">
                  <c:v>257.95690000000002</c:v>
                </c:pt>
                <c:pt idx="1">
                  <c:v>323.95689999999996</c:v>
                </c:pt>
                <c:pt idx="2">
                  <c:v>389.95690000000002</c:v>
                </c:pt>
                <c:pt idx="3">
                  <c:v>455.95690000000002</c:v>
                </c:pt>
                <c:pt idx="4">
                  <c:v>521.95690000000002</c:v>
                </c:pt>
                <c:pt idx="5">
                  <c:v>587.95690000000002</c:v>
                </c:pt>
                <c:pt idx="6">
                  <c:v>653.95689999999991</c:v>
                </c:pt>
                <c:pt idx="7">
                  <c:v>719.95690000000002</c:v>
                </c:pt>
                <c:pt idx="8">
                  <c:v>785.95689999999991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717952"/>
        <c:axId val="1349719104"/>
      </c:scatterChart>
      <c:valAx>
        <c:axId val="1349717952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3259008511786501"/>
              <c:y val="0.914922935165019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9719104"/>
        <c:crossesAt val="-20"/>
        <c:crossBetween val="midCat"/>
      </c:valAx>
      <c:valAx>
        <c:axId val="1349719104"/>
        <c:scaling>
          <c:orientation val="minMax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Tension at Lower FJ (kips)</a:t>
                </a:r>
              </a:p>
            </c:rich>
          </c:tx>
          <c:layout>
            <c:manualLayout>
              <c:xMode val="edge"/>
              <c:yMode val="edge"/>
              <c:x val="6.6757075926256893E-3"/>
              <c:y val="0.2154325124253085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9717952"/>
        <c:crossesAt val="0"/>
        <c:crossBetween val="midCat"/>
        <c:minorUnit val="10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47797062750342"/>
          <c:y val="0.3670217532176609"/>
          <c:w val="0.12683578104138851"/>
          <c:h val="0.5212772726859529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Telescopic Joint Stroke-out (No Vessel Heave, Extension Negative)</a:t>
            </a:r>
          </a:p>
        </c:rich>
      </c:tx>
      <c:layout>
        <c:manualLayout>
          <c:xMode val="edge"/>
          <c:yMode val="edge"/>
          <c:x val="0.17520767451238409"/>
          <c:y val="3.19160104986876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90664516274447"/>
          <c:y val="9.8407423542483163E-2"/>
          <c:w val="0.74800218680608355"/>
          <c:h val="0.736725846520752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temp!$P$111</c:f>
              <c:strCache>
                <c:ptCount val="1"/>
                <c:pt idx="0">
                  <c:v>340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temp!$P$112:$P$121</c:f>
              <c:numCache>
                <c:formatCode>0.00</c:formatCode>
                <c:ptCount val="10"/>
                <c:pt idx="0">
                  <c:v>-15.219999904632568</c:v>
                </c:pt>
                <c:pt idx="1">
                  <c:v>-11.919999904632569</c:v>
                </c:pt>
                <c:pt idx="2">
                  <c:v>-9.5999999046325684</c:v>
                </c:pt>
                <c:pt idx="3">
                  <c:v>-8.2699999046325683</c:v>
                </c:pt>
                <c:pt idx="4">
                  <c:v>-7.9199999046325686</c:v>
                </c:pt>
                <c:pt idx="5">
                  <c:v>-8.5599999046325692</c:v>
                </c:pt>
                <c:pt idx="6">
                  <c:v>-10.179999904632568</c:v>
                </c:pt>
                <c:pt idx="7">
                  <c:v>-12.779999904632568</c:v>
                </c:pt>
                <c:pt idx="8">
                  <c:v>-16.369999904632568</c:v>
                </c:pt>
                <c:pt idx="9">
                  <c:v>-20.939999904632568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temp!$Q$111</c:f>
              <c:strCache>
                <c:ptCount val="1"/>
                <c:pt idx="0">
                  <c:v>406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temp!$Q$112:$Q$121</c:f>
              <c:numCache>
                <c:formatCode>0.00</c:formatCode>
                <c:ptCount val="10"/>
                <c:pt idx="0">
                  <c:v>-14.509999904632569</c:v>
                </c:pt>
                <c:pt idx="1">
                  <c:v>-11.209999904632568</c:v>
                </c:pt>
                <c:pt idx="2">
                  <c:v>-8.8999999046325691</c:v>
                </c:pt>
                <c:pt idx="3">
                  <c:v>-7.5599999046325683</c:v>
                </c:pt>
                <c:pt idx="4">
                  <c:v>-7.2199999046325685</c:v>
                </c:pt>
                <c:pt idx="5">
                  <c:v>-7.8499999046325684</c:v>
                </c:pt>
                <c:pt idx="6">
                  <c:v>-9.4699999046325694</c:v>
                </c:pt>
                <c:pt idx="7">
                  <c:v>-12.069999904632567</c:v>
                </c:pt>
                <c:pt idx="8">
                  <c:v>-15.649999904632569</c:v>
                </c:pt>
                <c:pt idx="9">
                  <c:v>-20.219999904632566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temp!$R$111</c:f>
              <c:strCache>
                <c:ptCount val="1"/>
                <c:pt idx="0">
                  <c:v>472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temp!$R$112:$R$121</c:f>
              <c:numCache>
                <c:formatCode>0.00</c:formatCode>
                <c:ptCount val="10"/>
                <c:pt idx="0">
                  <c:v>-14.019999904632568</c:v>
                </c:pt>
                <c:pt idx="1">
                  <c:v>-10.719999904632569</c:v>
                </c:pt>
                <c:pt idx="2">
                  <c:v>-8.4099999046325689</c:v>
                </c:pt>
                <c:pt idx="3">
                  <c:v>-7.0699999046325681</c:v>
                </c:pt>
                <c:pt idx="4">
                  <c:v>-6.7199999046325685</c:v>
                </c:pt>
                <c:pt idx="5">
                  <c:v>-7.3599999046325681</c:v>
                </c:pt>
                <c:pt idx="6">
                  <c:v>-8.9699999046325694</c:v>
                </c:pt>
                <c:pt idx="7">
                  <c:v>-11.569999904632567</c:v>
                </c:pt>
                <c:pt idx="8">
                  <c:v>-15.149999904632569</c:v>
                </c:pt>
                <c:pt idx="9">
                  <c:v>-19.709999904632568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temp!$S$111</c:f>
              <c:strCache>
                <c:ptCount val="1"/>
                <c:pt idx="0">
                  <c:v>538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temp!$S$112:$S$121</c:f>
              <c:numCache>
                <c:formatCode>0.00</c:formatCode>
                <c:ptCount val="10"/>
                <c:pt idx="0">
                  <c:v>-13.629999904632569</c:v>
                </c:pt>
                <c:pt idx="1">
                  <c:v>-10.339999904632569</c:v>
                </c:pt>
                <c:pt idx="2">
                  <c:v>-8.0199999046325683</c:v>
                </c:pt>
                <c:pt idx="3">
                  <c:v>-6.6899999046325682</c:v>
                </c:pt>
                <c:pt idx="4">
                  <c:v>-6.3399999046325686</c:v>
                </c:pt>
                <c:pt idx="5">
                  <c:v>-6.9699999046325685</c:v>
                </c:pt>
                <c:pt idx="6">
                  <c:v>-8.5899999046325686</c:v>
                </c:pt>
                <c:pt idx="7">
                  <c:v>-11.179999904632568</c:v>
                </c:pt>
                <c:pt idx="8">
                  <c:v>-14.759999904632569</c:v>
                </c:pt>
                <c:pt idx="9">
                  <c:v>-19.319999904632567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temp!$T$111</c:f>
              <c:strCache>
                <c:ptCount val="1"/>
                <c:pt idx="0">
                  <c:v>604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temp!$T$112:$T$121</c:f>
              <c:numCache>
                <c:formatCode>0.00</c:formatCode>
                <c:ptCount val="10"/>
                <c:pt idx="0">
                  <c:v>-13.309999904632569</c:v>
                </c:pt>
                <c:pt idx="1">
                  <c:v>-10.019999904632568</c:v>
                </c:pt>
                <c:pt idx="2">
                  <c:v>-7.699999904632568</c:v>
                </c:pt>
                <c:pt idx="3">
                  <c:v>-6.3699999046325679</c:v>
                </c:pt>
                <c:pt idx="4">
                  <c:v>-6.0199999046325683</c:v>
                </c:pt>
                <c:pt idx="5">
                  <c:v>-6.6499999046325682</c:v>
                </c:pt>
                <c:pt idx="6">
                  <c:v>-8.2599999046325685</c:v>
                </c:pt>
                <c:pt idx="7">
                  <c:v>-10.859999904632568</c:v>
                </c:pt>
                <c:pt idx="8">
                  <c:v>-14.439999904632568</c:v>
                </c:pt>
                <c:pt idx="9">
                  <c:v>-18.989999904632569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temp!$U$111</c:f>
              <c:strCache>
                <c:ptCount val="1"/>
                <c:pt idx="0">
                  <c:v>670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temp!$U$112:$U$121</c:f>
              <c:numCache>
                <c:formatCode>0.00</c:formatCode>
                <c:ptCount val="10"/>
                <c:pt idx="0">
                  <c:v>-13.029999904632568</c:v>
                </c:pt>
                <c:pt idx="1">
                  <c:v>-9.7299999046325674</c:v>
                </c:pt>
                <c:pt idx="2">
                  <c:v>-7.4199999046325686</c:v>
                </c:pt>
                <c:pt idx="3">
                  <c:v>-6.0899999046325686</c:v>
                </c:pt>
                <c:pt idx="4">
                  <c:v>-5.739999904632568</c:v>
                </c:pt>
                <c:pt idx="5">
                  <c:v>-6.3699999046325679</c:v>
                </c:pt>
                <c:pt idx="6">
                  <c:v>-7.9799999046325683</c:v>
                </c:pt>
                <c:pt idx="7">
                  <c:v>-10.569999904632569</c:v>
                </c:pt>
                <c:pt idx="8">
                  <c:v>-14.149999904632569</c:v>
                </c:pt>
                <c:pt idx="9">
                  <c:v>-18.69999990463257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temp!$V$111</c:f>
              <c:strCache>
                <c:ptCount val="1"/>
                <c:pt idx="0">
                  <c:v>736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temp!$V$112:$V$121</c:f>
              <c:numCache>
                <c:formatCode>0.00</c:formatCode>
                <c:ptCount val="10"/>
                <c:pt idx="0">
                  <c:v>-12.759999904632569</c:v>
                </c:pt>
                <c:pt idx="1">
                  <c:v>-9.4699999046325694</c:v>
                </c:pt>
                <c:pt idx="2">
                  <c:v>-7.159999904632568</c:v>
                </c:pt>
                <c:pt idx="3">
                  <c:v>-5.8299999046325688</c:v>
                </c:pt>
                <c:pt idx="4">
                  <c:v>-5.4699999046325685</c:v>
                </c:pt>
                <c:pt idx="5">
                  <c:v>-6.0999999046325684</c:v>
                </c:pt>
                <c:pt idx="6">
                  <c:v>-7.7199999046325685</c:v>
                </c:pt>
                <c:pt idx="7">
                  <c:v>-10.309999904632569</c:v>
                </c:pt>
                <c:pt idx="8">
                  <c:v>-13.879999904632569</c:v>
                </c:pt>
                <c:pt idx="9">
                  <c:v>-18.439999904632568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temp!$W$111</c:f>
              <c:strCache>
                <c:ptCount val="1"/>
                <c:pt idx="0">
                  <c:v>802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temp!$W$112:$W$121</c:f>
              <c:numCache>
                <c:formatCode>0.00</c:formatCode>
                <c:ptCount val="10"/>
                <c:pt idx="0">
                  <c:v>-12.519999904632568</c:v>
                </c:pt>
                <c:pt idx="1">
                  <c:v>-9.2199999046325694</c:v>
                </c:pt>
                <c:pt idx="2">
                  <c:v>-6.909999904632568</c:v>
                </c:pt>
                <c:pt idx="3">
                  <c:v>-5.5799999046325688</c:v>
                </c:pt>
                <c:pt idx="4">
                  <c:v>-5.2299999046325683</c:v>
                </c:pt>
                <c:pt idx="5">
                  <c:v>-5.8599999046325681</c:v>
                </c:pt>
                <c:pt idx="6">
                  <c:v>-7.4699999046325685</c:v>
                </c:pt>
                <c:pt idx="7">
                  <c:v>-10.059999904632569</c:v>
                </c:pt>
                <c:pt idx="8">
                  <c:v>-13.629999904632569</c:v>
                </c:pt>
                <c:pt idx="9">
                  <c:v>-18.189999904632568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temp!$X$111</c:f>
              <c:strCache>
                <c:ptCount val="1"/>
                <c:pt idx="0">
                  <c:v>868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temp!$X$112:$X$121</c:f>
              <c:numCache>
                <c:formatCode>0.00</c:formatCode>
                <c:ptCount val="10"/>
                <c:pt idx="0">
                  <c:v>-12.279999904632568</c:v>
                </c:pt>
                <c:pt idx="1">
                  <c:v>-8.9899999046325689</c:v>
                </c:pt>
                <c:pt idx="2">
                  <c:v>-6.6799999046325684</c:v>
                </c:pt>
                <c:pt idx="3">
                  <c:v>-5.3399999046325686</c:v>
                </c:pt>
                <c:pt idx="4">
                  <c:v>-4.9899999046325689</c:v>
                </c:pt>
                <c:pt idx="5">
                  <c:v>-5.6199999046325679</c:v>
                </c:pt>
                <c:pt idx="6">
                  <c:v>-7.2299999046325683</c:v>
                </c:pt>
                <c:pt idx="7">
                  <c:v>-9.819999904632569</c:v>
                </c:pt>
                <c:pt idx="8">
                  <c:v>-13.399999904632569</c:v>
                </c:pt>
                <c:pt idx="9">
                  <c:v>-17.94999990463257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720832"/>
        <c:axId val="1349721408"/>
      </c:scatterChart>
      <c:valAx>
        <c:axId val="1349720832"/>
        <c:scaling>
          <c:orientation val="minMax"/>
          <c:max val="11"/>
          <c:min val="-9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Vessel Offset (%WD)</a:t>
                </a:r>
              </a:p>
            </c:rich>
          </c:tx>
          <c:layout>
            <c:manualLayout>
              <c:xMode val="edge"/>
              <c:yMode val="edge"/>
              <c:x val="0.38950018040197809"/>
              <c:y val="0.9149229351650193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9721408"/>
        <c:crossesAt val="-100"/>
        <c:crossBetween val="midCat"/>
      </c:valAx>
      <c:valAx>
        <c:axId val="134972140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Telescopic Joint Stroke-out (ft)</a:t>
                </a:r>
              </a:p>
            </c:rich>
          </c:tx>
          <c:layout>
            <c:manualLayout>
              <c:xMode val="edge"/>
              <c:yMode val="edge"/>
              <c:x val="2.5607317953180393E-2"/>
              <c:y val="0.167558496677277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9720832"/>
        <c:crossesAt val="-1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601135814005537"/>
          <c:y val="0.10372353895281718"/>
          <c:w val="0.11725075101259202"/>
          <c:h val="0.744681818122790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Riser Operability Plot</a:t>
            </a:r>
          </a:p>
        </c:rich>
      </c:tx>
      <c:layout>
        <c:manualLayout>
          <c:xMode val="edge"/>
          <c:yMode val="edge"/>
          <c:x val="0.39495895459876035"/>
          <c:y val="1.31410183451115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417808227517094E-2"/>
          <c:y val="4.3365325684285777E-2"/>
          <c:w val="0.86305855689660005"/>
          <c:h val="0.77531945920389811"/>
        </c:manualLayout>
      </c:layout>
      <c:scatterChart>
        <c:scatterStyle val="lineMarker"/>
        <c:varyColors val="0"/>
        <c:ser>
          <c:idx val="0"/>
          <c:order val="0"/>
          <c:tx>
            <c:v>Criteria A (+Offset)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temp!$AG$60:$AG$68</c:f>
              <c:numCache>
                <c:formatCode>0.00</c:formatCode>
                <c:ptCount val="9"/>
                <c:pt idx="0">
                  <c:v>-3382.794871794898</c:v>
                </c:pt>
                <c:pt idx="1">
                  <c:v>0.2393162393162398</c:v>
                </c:pt>
                <c:pt idx="2">
                  <c:v>0.76521739130434829</c:v>
                </c:pt>
                <c:pt idx="3">
                  <c:v>0.61224489795918347</c:v>
                </c:pt>
                <c:pt idx="4">
                  <c:v>-0.10101010101010122</c:v>
                </c:pt>
                <c:pt idx="5">
                  <c:v>-0.66666666666666696</c:v>
                </c:pt>
                <c:pt idx="6">
                  <c:v>-1.1287128712871288</c:v>
                </c:pt>
                <c:pt idx="7">
                  <c:v>-1.5247524752475243</c:v>
                </c:pt>
                <c:pt idx="8">
                  <c:v>-1.8431372549019609</c:v>
                </c:pt>
              </c:numCache>
            </c:numRef>
          </c:xVal>
          <c:yVal>
            <c:numRef>
              <c:f>temp!$AA$60:$AA$68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yVal>
          <c:smooth val="0"/>
        </c:ser>
        <c:ser>
          <c:idx val="2"/>
          <c:order val="1"/>
          <c:tx>
            <c:v>Criteria A (-Offset)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temp!$AC$60:$AC$68</c:f>
              <c:numCache>
                <c:formatCode>0.00</c:formatCode>
                <c:ptCount val="9"/>
                <c:pt idx="0">
                  <c:v>10.602150537634412</c:v>
                </c:pt>
                <c:pt idx="1">
                  <c:v>8.821052631578949</c:v>
                </c:pt>
                <c:pt idx="2">
                  <c:v>7.5625</c:v>
                </c:pt>
                <c:pt idx="3">
                  <c:v>6.5979381443298966</c:v>
                </c:pt>
                <c:pt idx="4">
                  <c:v>5.8775510204081627</c:v>
                </c:pt>
                <c:pt idx="5">
                  <c:v>5.2929292929292924</c:v>
                </c:pt>
                <c:pt idx="6">
                  <c:v>4.82</c:v>
                </c:pt>
                <c:pt idx="7">
                  <c:v>4.4356435643564343</c:v>
                </c:pt>
                <c:pt idx="8">
                  <c:v>4.1176470588235299</c:v>
                </c:pt>
              </c:numCache>
            </c:numRef>
          </c:xVal>
          <c:yVal>
            <c:numRef>
              <c:f>temp!$AA$60:$AA$68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yVal>
          <c:smooth val="0"/>
        </c:ser>
        <c:ser>
          <c:idx val="4"/>
          <c:order val="2"/>
          <c:tx>
            <c:v>Minimum TSR (API Stability)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temp!$AT$6:$AT$7</c:f>
              <c:numCache>
                <c:formatCode>0.00</c:formatCode>
                <c:ptCount val="2"/>
                <c:pt idx="0">
                  <c:v>10</c:v>
                </c:pt>
                <c:pt idx="1">
                  <c:v>-10</c:v>
                </c:pt>
              </c:numCache>
            </c:numRef>
          </c:xVal>
          <c:yVal>
            <c:numRef>
              <c:f>temp!$AR$6:$AR$7</c:f>
              <c:numCache>
                <c:formatCode>0.00</c:formatCode>
                <c:ptCount val="2"/>
                <c:pt idx="0">
                  <c:v>312.12533109822908</c:v>
                </c:pt>
                <c:pt idx="1">
                  <c:v>312.12533109822908</c:v>
                </c:pt>
              </c:numCache>
            </c:numRef>
          </c:yVal>
          <c:smooth val="0"/>
        </c:ser>
        <c:ser>
          <c:idx val="1"/>
          <c:order val="3"/>
          <c:tx>
            <c:v>Criteria B (+Offset)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temp!$AI$60:$AI$68</c:f>
              <c:numCache>
                <c:formatCode>0.00</c:formatCode>
                <c:ptCount val="9"/>
                <c:pt idx="0">
                  <c:v>-3382.794871794898</c:v>
                </c:pt>
                <c:pt idx="1">
                  <c:v>2.787234042553191</c:v>
                </c:pt>
                <c:pt idx="2">
                  <c:v>1.5416666666666663</c:v>
                </c:pt>
                <c:pt idx="3">
                  <c:v>0.61224489795918347</c:v>
                </c:pt>
                <c:pt idx="4">
                  <c:v>-0.10101010101010122</c:v>
                </c:pt>
                <c:pt idx="5">
                  <c:v>-0.66666666666666696</c:v>
                </c:pt>
                <c:pt idx="6">
                  <c:v>-1.1287128712871288</c:v>
                </c:pt>
                <c:pt idx="7">
                  <c:v>-1.5247524752475243</c:v>
                </c:pt>
                <c:pt idx="8">
                  <c:v>-1.8431372549019609</c:v>
                </c:pt>
              </c:numCache>
            </c:numRef>
          </c:xVal>
          <c:yVal>
            <c:numRef>
              <c:f>temp!$AA$60:$AA$68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yVal>
          <c:smooth val="0"/>
        </c:ser>
        <c:ser>
          <c:idx val="3"/>
          <c:order val="4"/>
          <c:tx>
            <c:v>Criteria B (-Offset)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temp!$AE$60:$AE$68</c:f>
              <c:numCache>
                <c:formatCode>0.00</c:formatCode>
                <c:ptCount val="9"/>
                <c:pt idx="0">
                  <c:v>6.3010752688172058</c:v>
                </c:pt>
                <c:pt idx="1">
                  <c:v>4.6105263157894747</c:v>
                </c:pt>
                <c:pt idx="2">
                  <c:v>3.3958333333333339</c:v>
                </c:pt>
                <c:pt idx="3">
                  <c:v>2.4742268041237132</c:v>
                </c:pt>
                <c:pt idx="4">
                  <c:v>1.7959183673469372</c:v>
                </c:pt>
                <c:pt idx="5">
                  <c:v>1.2525252525252508</c:v>
                </c:pt>
                <c:pt idx="6">
                  <c:v>0.82000000000000028</c:v>
                </c:pt>
                <c:pt idx="7">
                  <c:v>0.47524752475247212</c:v>
                </c:pt>
                <c:pt idx="8">
                  <c:v>0.19607843137254832</c:v>
                </c:pt>
              </c:numCache>
            </c:numRef>
          </c:xVal>
          <c:yVal>
            <c:numRef>
              <c:f>temp!$AA$60:$AA$68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yVal>
          <c:smooth val="0"/>
        </c:ser>
        <c:ser>
          <c:idx val="5"/>
          <c:order val="5"/>
          <c:tx>
            <c:v>Maximum TSR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temp!$AT$6:$AT$7</c:f>
              <c:numCache>
                <c:formatCode>0.00</c:formatCode>
                <c:ptCount val="2"/>
                <c:pt idx="0">
                  <c:v>10</c:v>
                </c:pt>
                <c:pt idx="1">
                  <c:v>-10</c:v>
                </c:pt>
              </c:numCache>
            </c:numRef>
          </c:xVal>
          <c:yVal>
            <c:numRef>
              <c:f>temp!$AS$6:$AS$7</c:f>
              <c:numCache>
                <c:formatCode>0.00</c:formatCode>
                <c:ptCount val="2"/>
                <c:pt idx="0">
                  <c:v>2152</c:v>
                </c:pt>
                <c:pt idx="1">
                  <c:v>2152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temp!$AS$13</c:f>
              <c:strCache>
                <c:ptCount val="1"/>
                <c:pt idx="0">
                  <c:v>Max Offset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temp!$AS$14:$AS$15</c:f>
              <c:numCache>
                <c:formatCode>General</c:formatCode>
                <c:ptCount val="2"/>
                <c:pt idx="0">
                  <c:v>1699</c:v>
                </c:pt>
                <c:pt idx="1">
                  <c:v>1699</c:v>
                </c:pt>
              </c:numCache>
            </c:numRef>
          </c:xVal>
          <c:yVal>
            <c:numRef>
              <c:f>temp!$AT$14:$AT$15</c:f>
              <c:numCache>
                <c:formatCode>General</c:formatCode>
                <c:ptCount val="2"/>
                <c:pt idx="0">
                  <c:v>0</c:v>
                </c:pt>
                <c:pt idx="1">
                  <c:v>2750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temp!$AR$13</c:f>
              <c:strCache>
                <c:ptCount val="1"/>
                <c:pt idx="0">
                  <c:v>Min Offset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temp!$AR$14:$AR$15</c:f>
              <c:numCache>
                <c:formatCode>General</c:formatCode>
                <c:ptCount val="2"/>
                <c:pt idx="0">
                  <c:v>-1699</c:v>
                </c:pt>
                <c:pt idx="1">
                  <c:v>-1699</c:v>
                </c:pt>
              </c:numCache>
            </c:numRef>
          </c:xVal>
          <c:yVal>
            <c:numRef>
              <c:f>temp!$AT$14:$AT$15</c:f>
              <c:numCache>
                <c:formatCode>General</c:formatCode>
                <c:ptCount val="2"/>
                <c:pt idx="0">
                  <c:v>0</c:v>
                </c:pt>
                <c:pt idx="1">
                  <c:v>2750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0624960"/>
        <c:axId val="1350625536"/>
      </c:scatterChart>
      <c:valAx>
        <c:axId val="1350624960"/>
        <c:scaling>
          <c:orientation val="minMax"/>
          <c:max val="10"/>
          <c:min val="-10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Vessel Surface Offset (%WD), (+)Down Current, (-)Up Current</a:t>
                </a:r>
              </a:p>
            </c:rich>
          </c:tx>
          <c:layout>
            <c:manualLayout>
              <c:xMode val="edge"/>
              <c:yMode val="edge"/>
              <c:x val="0.27261475959122128"/>
              <c:y val="0.859421882382967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625536"/>
        <c:crossesAt val="-20"/>
        <c:crossBetween val="midCat"/>
      </c:valAx>
      <c:valAx>
        <c:axId val="1350625536"/>
        <c:scaling>
          <c:orientation val="minMax"/>
          <c:max val="1000"/>
          <c:min val="2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TSR, Slip Ring Tension (kips)</a:t>
                </a:r>
              </a:p>
            </c:rich>
          </c:tx>
          <c:layout>
            <c:manualLayout>
              <c:xMode val="edge"/>
              <c:yMode val="edge"/>
              <c:x val="1.0638577092757026E-2"/>
              <c:y val="0.308813724171469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624960"/>
        <c:crossesAt val="-20"/>
        <c:crossBetween val="midCat"/>
        <c:majorUnit val="100"/>
        <c:min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9.5683738443301289E-2"/>
          <c:y val="0.88935931126745393"/>
          <c:w val="0.86335795352188793"/>
          <c:h val="0.100249151425972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Riser Operating Envelope</a:t>
            </a:r>
          </a:p>
        </c:rich>
      </c:tx>
      <c:layout>
        <c:manualLayout>
          <c:xMode val="edge"/>
          <c:yMode val="edge"/>
          <c:x val="0.36532932805364654"/>
          <c:y val="1.31410183451115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771266520989995E-2"/>
          <c:y val="4.5993527240909202E-2"/>
          <c:w val="0.75031234742206498"/>
          <c:h val="0.85547960668091094"/>
        </c:manualLayout>
      </c:layout>
      <c:scatterChart>
        <c:scatterStyle val="lineMarker"/>
        <c:varyColors val="0"/>
        <c:ser>
          <c:idx val="0"/>
          <c:order val="0"/>
          <c:tx>
            <c:v>Limiting Offset          (+Offset)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temp!$AG$60:$AG$68</c:f>
              <c:numCache>
                <c:formatCode>0.00</c:formatCode>
                <c:ptCount val="9"/>
                <c:pt idx="0">
                  <c:v>-3382.794871794898</c:v>
                </c:pt>
                <c:pt idx="1">
                  <c:v>0.2393162393162398</c:v>
                </c:pt>
                <c:pt idx="2">
                  <c:v>0.76521739130434829</c:v>
                </c:pt>
                <c:pt idx="3">
                  <c:v>0.61224489795918347</c:v>
                </c:pt>
                <c:pt idx="4">
                  <c:v>-0.10101010101010122</c:v>
                </c:pt>
                <c:pt idx="5">
                  <c:v>-0.66666666666666696</c:v>
                </c:pt>
                <c:pt idx="6">
                  <c:v>-1.1287128712871288</c:v>
                </c:pt>
                <c:pt idx="7">
                  <c:v>-1.5247524752475243</c:v>
                </c:pt>
                <c:pt idx="8">
                  <c:v>-1.8431372549019609</c:v>
                </c:pt>
              </c:numCache>
            </c:numRef>
          </c:xVal>
          <c:yVal>
            <c:numRef>
              <c:f>temp!$AA$60:$AA$68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yVal>
          <c:smooth val="0"/>
        </c:ser>
        <c:ser>
          <c:idx val="2"/>
          <c:order val="1"/>
          <c:tx>
            <c:v>Limiting Offset               (-Offset)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temp!$AC$60:$AC$68</c:f>
              <c:numCache>
                <c:formatCode>0.00</c:formatCode>
                <c:ptCount val="9"/>
                <c:pt idx="0">
                  <c:v>10.602150537634412</c:v>
                </c:pt>
                <c:pt idx="1">
                  <c:v>8.821052631578949</c:v>
                </c:pt>
                <c:pt idx="2">
                  <c:v>7.5625</c:v>
                </c:pt>
                <c:pt idx="3">
                  <c:v>6.5979381443298966</c:v>
                </c:pt>
                <c:pt idx="4">
                  <c:v>5.8775510204081627</c:v>
                </c:pt>
                <c:pt idx="5">
                  <c:v>5.2929292929292924</c:v>
                </c:pt>
                <c:pt idx="6">
                  <c:v>4.82</c:v>
                </c:pt>
                <c:pt idx="7">
                  <c:v>4.4356435643564343</c:v>
                </c:pt>
                <c:pt idx="8">
                  <c:v>4.1176470588235299</c:v>
                </c:pt>
              </c:numCache>
            </c:numRef>
          </c:xVal>
          <c:yVal>
            <c:numRef>
              <c:f>temp!$AA$60:$AA$68</c:f>
              <c:numCache>
                <c:formatCode>General</c:formatCode>
                <c:ptCount val="9"/>
                <c:pt idx="0">
                  <c:v>340</c:v>
                </c:pt>
                <c:pt idx="1">
                  <c:v>406</c:v>
                </c:pt>
                <c:pt idx="2">
                  <c:v>472</c:v>
                </c:pt>
                <c:pt idx="3">
                  <c:v>538</c:v>
                </c:pt>
                <c:pt idx="4">
                  <c:v>604</c:v>
                </c:pt>
                <c:pt idx="5">
                  <c:v>670</c:v>
                </c:pt>
                <c:pt idx="6">
                  <c:v>736</c:v>
                </c:pt>
                <c:pt idx="7">
                  <c:v>802</c:v>
                </c:pt>
                <c:pt idx="8">
                  <c:v>868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temp!$AX$6</c:f>
              <c:strCache>
                <c:ptCount val="1"/>
                <c:pt idx="0">
                  <c:v>Max Tension                   (No Tensioners Down)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temp!$AT$6:$AT$7</c:f>
              <c:numCache>
                <c:formatCode>0.00</c:formatCode>
                <c:ptCount val="2"/>
                <c:pt idx="0">
                  <c:v>10</c:v>
                </c:pt>
                <c:pt idx="1">
                  <c:v>-10</c:v>
                </c:pt>
              </c:numCache>
            </c:numRef>
          </c:xVal>
          <c:yVal>
            <c:numRef>
              <c:f>temp!$AS$6:$AS$7</c:f>
              <c:numCache>
                <c:formatCode>0.00</c:formatCode>
                <c:ptCount val="2"/>
                <c:pt idx="0">
                  <c:v>2152</c:v>
                </c:pt>
                <c:pt idx="1">
                  <c:v>2152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temp!$AX$7</c:f>
              <c:strCache>
                <c:ptCount val="1"/>
                <c:pt idx="0">
                  <c:v>Recommended Minimum Tension **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temp!$AT$6:$AT$7</c:f>
              <c:numCache>
                <c:formatCode>0.00</c:formatCode>
                <c:ptCount val="2"/>
                <c:pt idx="0">
                  <c:v>10</c:v>
                </c:pt>
                <c:pt idx="1">
                  <c:v>-10</c:v>
                </c:pt>
              </c:numCache>
            </c:numRef>
          </c:xVal>
          <c:yVal>
            <c:numRef>
              <c:f>temp!$AQ$6:$AQ$7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temp!$AX$8</c:f>
              <c:strCache>
                <c:ptCount val="1"/>
                <c:pt idx="0">
                  <c:v>Buckling Tension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temp!$AT$6:$AT$7</c:f>
              <c:numCache>
                <c:formatCode>0.00</c:formatCode>
                <c:ptCount val="2"/>
                <c:pt idx="0">
                  <c:v>10</c:v>
                </c:pt>
                <c:pt idx="1">
                  <c:v>-10</c:v>
                </c:pt>
              </c:numCache>
            </c:numRef>
          </c:xVal>
          <c:yVal>
            <c:numRef>
              <c:f>temp!$AR$6:$AR$7</c:f>
              <c:numCache>
                <c:formatCode>0.00</c:formatCode>
                <c:ptCount val="2"/>
                <c:pt idx="0">
                  <c:v>312.12533109822908</c:v>
                </c:pt>
                <c:pt idx="1">
                  <c:v>312.12533109822908</c:v>
                </c:pt>
              </c:numCache>
            </c:numRef>
          </c:yVal>
          <c:smooth val="0"/>
        </c:ser>
        <c:ser>
          <c:idx val="4"/>
          <c:order val="5"/>
          <c:tx>
            <c:strRef>
              <c:f>temp!$AS$13</c:f>
              <c:strCache>
                <c:ptCount val="1"/>
                <c:pt idx="0">
                  <c:v>Max Offset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temp!$AS$14:$AS$15</c:f>
              <c:numCache>
                <c:formatCode>General</c:formatCode>
                <c:ptCount val="2"/>
                <c:pt idx="0">
                  <c:v>1699</c:v>
                </c:pt>
                <c:pt idx="1">
                  <c:v>1699</c:v>
                </c:pt>
              </c:numCache>
            </c:numRef>
          </c:xVal>
          <c:yVal>
            <c:numRef>
              <c:f>temp!$AT$14:$AT$15</c:f>
              <c:numCache>
                <c:formatCode>General</c:formatCode>
                <c:ptCount val="2"/>
                <c:pt idx="0">
                  <c:v>0</c:v>
                </c:pt>
                <c:pt idx="1">
                  <c:v>2750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temp!$AR$13</c:f>
              <c:strCache>
                <c:ptCount val="1"/>
                <c:pt idx="0">
                  <c:v>Min Offset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temp!$AR$14:$AR$15</c:f>
              <c:numCache>
                <c:formatCode>General</c:formatCode>
                <c:ptCount val="2"/>
                <c:pt idx="0">
                  <c:v>-1699</c:v>
                </c:pt>
                <c:pt idx="1">
                  <c:v>-1699</c:v>
                </c:pt>
              </c:numCache>
            </c:numRef>
          </c:xVal>
          <c:yVal>
            <c:numRef>
              <c:f>temp!$AT$14:$AT$15</c:f>
              <c:numCache>
                <c:formatCode>General</c:formatCode>
                <c:ptCount val="2"/>
                <c:pt idx="0">
                  <c:v>0</c:v>
                </c:pt>
                <c:pt idx="1">
                  <c:v>2750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0627840"/>
        <c:axId val="1350628416"/>
      </c:scatterChart>
      <c:valAx>
        <c:axId val="1350627840"/>
        <c:scaling>
          <c:orientation val="minMax"/>
          <c:max val="8"/>
          <c:min val="-8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Vessel Surface Offset (%WD), (+)Down Current, (-)Up Current</a:t>
                </a:r>
              </a:p>
            </c:rich>
          </c:tx>
          <c:layout>
            <c:manualLayout>
              <c:xMode val="edge"/>
              <c:yMode val="edge"/>
              <c:x val="0.23468936325155887"/>
              <c:y val="0.9422103117530807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628416"/>
        <c:crossesAt val="-20"/>
        <c:crossBetween val="midCat"/>
      </c:valAx>
      <c:valAx>
        <c:axId val="1350628416"/>
        <c:scaling>
          <c:orientation val="minMax"/>
          <c:max val="1000"/>
          <c:min val="2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TSR, Slip Ring Tension (kips)</a:t>
                </a:r>
              </a:p>
            </c:rich>
          </c:tx>
          <c:layout>
            <c:manualLayout>
              <c:xMode val="edge"/>
              <c:yMode val="edge"/>
              <c:x val="6.9366589291945469E-3"/>
              <c:y val="0.350864900100365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627840"/>
        <c:crossesAt val="-20"/>
        <c:crossBetween val="midCat"/>
        <c:majorUnit val="100"/>
        <c:min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866766076873189"/>
          <c:y val="4.5548617257316029E-2"/>
          <c:w val="0.15209446394258455"/>
          <c:h val="0.855386348356514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Maximum Stress Intensity</a:t>
            </a:r>
          </a:p>
        </c:rich>
      </c:tx>
      <c:layout>
        <c:manualLayout>
          <c:xMode val="edge"/>
          <c:yMode val="edge"/>
          <c:x val="0.37718148989765538"/>
          <c:y val="1.5957446808510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25512417098637"/>
          <c:y val="9.3085227265348736E-2"/>
          <c:w val="0.7087252967211729"/>
          <c:h val="0.734043506435321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'10K110'!$A$9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'10K110'!$K$9:$K$17</c:f>
              <c:numCache>
                <c:formatCode>0.00</c:formatCode>
                <c:ptCount val="9"/>
                <c:pt idx="0">
                  <c:v>3.2650000000000001</c:v>
                </c:pt>
                <c:pt idx="1">
                  <c:v>4.0309999999999997</c:v>
                </c:pt>
                <c:pt idx="2">
                  <c:v>4.7759999999999998</c:v>
                </c:pt>
                <c:pt idx="3">
                  <c:v>5.508</c:v>
                </c:pt>
                <c:pt idx="4">
                  <c:v>6.2320000000000002</c:v>
                </c:pt>
                <c:pt idx="5">
                  <c:v>6.9489999999999998</c:v>
                </c:pt>
                <c:pt idx="6">
                  <c:v>7.6609999999999996</c:v>
                </c:pt>
                <c:pt idx="7">
                  <c:v>8.3699999999999992</c:v>
                </c:pt>
                <c:pt idx="8">
                  <c:v>9.077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7BC-4804-8249-F5406D5D81CE}"/>
            </c:ext>
          </c:extLst>
        </c:ser>
        <c:ser>
          <c:idx val="1"/>
          <c:order val="1"/>
          <c:tx>
            <c:strRef>
              <c:f>'10K110'!$A$18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'10K110'!$K$18:$K$26</c:f>
              <c:numCache>
                <c:formatCode>0.00</c:formatCode>
                <c:ptCount val="9"/>
                <c:pt idx="0">
                  <c:v>3.2519999999999998</c:v>
                </c:pt>
                <c:pt idx="1">
                  <c:v>3.9569999999999999</c:v>
                </c:pt>
                <c:pt idx="2">
                  <c:v>4.6989999999999998</c:v>
                </c:pt>
                <c:pt idx="3">
                  <c:v>5.4290000000000003</c:v>
                </c:pt>
                <c:pt idx="4">
                  <c:v>6.1509999999999998</c:v>
                </c:pt>
                <c:pt idx="5">
                  <c:v>6.867</c:v>
                </c:pt>
                <c:pt idx="6">
                  <c:v>7.5780000000000003</c:v>
                </c:pt>
                <c:pt idx="7">
                  <c:v>8.2859999999999996</c:v>
                </c:pt>
                <c:pt idx="8">
                  <c:v>8.9920000000000009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BC-4804-8249-F5406D5D81CE}"/>
            </c:ext>
          </c:extLst>
        </c:ser>
        <c:ser>
          <c:idx val="2"/>
          <c:order val="2"/>
          <c:tx>
            <c:strRef>
              <c:f>'10K110'!$A$27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'10K110'!$K$27:$K$35</c:f>
              <c:numCache>
                <c:formatCode>0.00</c:formatCode>
                <c:ptCount val="9"/>
                <c:pt idx="0">
                  <c:v>3.323</c:v>
                </c:pt>
                <c:pt idx="1">
                  <c:v>3.976</c:v>
                </c:pt>
                <c:pt idx="2">
                  <c:v>4.6440000000000001</c:v>
                </c:pt>
                <c:pt idx="3">
                  <c:v>5.35</c:v>
                </c:pt>
                <c:pt idx="4">
                  <c:v>6.07</c:v>
                </c:pt>
                <c:pt idx="5">
                  <c:v>6.7850000000000001</c:v>
                </c:pt>
                <c:pt idx="6">
                  <c:v>7.4950000000000001</c:v>
                </c:pt>
                <c:pt idx="7">
                  <c:v>8.202</c:v>
                </c:pt>
                <c:pt idx="8">
                  <c:v>8.907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7BC-4804-8249-F5406D5D81CE}"/>
            </c:ext>
          </c:extLst>
        </c:ser>
        <c:ser>
          <c:idx val="3"/>
          <c:order val="3"/>
          <c:tx>
            <c:strRef>
              <c:f>'10K110'!$A$36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'10K110'!$K$36:$K$44</c:f>
              <c:numCache>
                <c:formatCode>0.00</c:formatCode>
                <c:ptCount val="9"/>
                <c:pt idx="0">
                  <c:v>3.3940000000000001</c:v>
                </c:pt>
                <c:pt idx="1">
                  <c:v>4.0510000000000002</c:v>
                </c:pt>
                <c:pt idx="2">
                  <c:v>4.7210000000000001</c:v>
                </c:pt>
                <c:pt idx="3">
                  <c:v>5.399</c:v>
                </c:pt>
                <c:pt idx="4">
                  <c:v>6.0810000000000004</c:v>
                </c:pt>
                <c:pt idx="5">
                  <c:v>6.766</c:v>
                </c:pt>
                <c:pt idx="6">
                  <c:v>7.452</c:v>
                </c:pt>
                <c:pt idx="7">
                  <c:v>8.1389999999999993</c:v>
                </c:pt>
                <c:pt idx="8">
                  <c:v>8.8260000000000005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7BC-4804-8249-F5406D5D81CE}"/>
            </c:ext>
          </c:extLst>
        </c:ser>
        <c:ser>
          <c:idx val="4"/>
          <c:order val="4"/>
          <c:tx>
            <c:strRef>
              <c:f>'10K110'!$A$45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'10K110'!$K$45:$K$53</c:f>
              <c:numCache>
                <c:formatCode>0.00</c:formatCode>
                <c:ptCount val="9"/>
                <c:pt idx="0">
                  <c:v>3.464</c:v>
                </c:pt>
                <c:pt idx="1">
                  <c:v>4.125</c:v>
                </c:pt>
                <c:pt idx="2">
                  <c:v>4.798</c:v>
                </c:pt>
                <c:pt idx="3">
                  <c:v>5.4779999999999998</c:v>
                </c:pt>
                <c:pt idx="4">
                  <c:v>6.1619999999999999</c:v>
                </c:pt>
                <c:pt idx="5">
                  <c:v>6.8479999999999999</c:v>
                </c:pt>
                <c:pt idx="6">
                  <c:v>7.5350000000000001</c:v>
                </c:pt>
                <c:pt idx="7">
                  <c:v>8.2230000000000008</c:v>
                </c:pt>
                <c:pt idx="8">
                  <c:v>8.9109999999999996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7BC-4804-8249-F5406D5D81CE}"/>
            </c:ext>
          </c:extLst>
        </c:ser>
        <c:ser>
          <c:idx val="5"/>
          <c:order val="5"/>
          <c:tx>
            <c:strRef>
              <c:f>'10K110'!$A$60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'10K110'!$K$60:$K$68</c:f>
              <c:numCache>
                <c:formatCode>0.00</c:formatCode>
                <c:ptCount val="9"/>
                <c:pt idx="0">
                  <c:v>3.5350000000000001</c:v>
                </c:pt>
                <c:pt idx="1">
                  <c:v>4.2</c:v>
                </c:pt>
                <c:pt idx="2">
                  <c:v>4.875</c:v>
                </c:pt>
                <c:pt idx="3">
                  <c:v>5.5570000000000004</c:v>
                </c:pt>
                <c:pt idx="4">
                  <c:v>6.2430000000000003</c:v>
                </c:pt>
                <c:pt idx="5">
                  <c:v>6.93</c:v>
                </c:pt>
                <c:pt idx="6">
                  <c:v>7.6180000000000003</c:v>
                </c:pt>
                <c:pt idx="7">
                  <c:v>8.3070000000000004</c:v>
                </c:pt>
                <c:pt idx="8">
                  <c:v>8.9960000000000004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7BC-4804-8249-F5406D5D81CE}"/>
            </c:ext>
          </c:extLst>
        </c:ser>
        <c:ser>
          <c:idx val="6"/>
          <c:order val="6"/>
          <c:tx>
            <c:strRef>
              <c:f>'10K110'!$A$69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'10K110'!$K$69:$K$77</c:f>
              <c:numCache>
                <c:formatCode>0.00</c:formatCode>
                <c:ptCount val="9"/>
                <c:pt idx="0">
                  <c:v>3.6059999999999999</c:v>
                </c:pt>
                <c:pt idx="1">
                  <c:v>4.274</c:v>
                </c:pt>
                <c:pt idx="2">
                  <c:v>4.9530000000000003</c:v>
                </c:pt>
                <c:pt idx="3">
                  <c:v>5.6369999999999996</c:v>
                </c:pt>
                <c:pt idx="4">
                  <c:v>6.3239999999999998</c:v>
                </c:pt>
                <c:pt idx="5">
                  <c:v>7.0119999999999996</c:v>
                </c:pt>
                <c:pt idx="6">
                  <c:v>7.7009999999999996</c:v>
                </c:pt>
                <c:pt idx="7">
                  <c:v>8.391</c:v>
                </c:pt>
                <c:pt idx="8">
                  <c:v>9.0809999999999995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7BC-4804-8249-F5406D5D81CE}"/>
            </c:ext>
          </c:extLst>
        </c:ser>
        <c:ser>
          <c:idx val="7"/>
          <c:order val="7"/>
          <c:tx>
            <c:strRef>
              <c:f>'10K110'!$A$78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'10K110'!$K$78:$K$86</c:f>
              <c:numCache>
                <c:formatCode>0.00</c:formatCode>
                <c:ptCount val="9"/>
                <c:pt idx="0">
                  <c:v>3.6760000000000002</c:v>
                </c:pt>
                <c:pt idx="1">
                  <c:v>4.3490000000000002</c:v>
                </c:pt>
                <c:pt idx="2">
                  <c:v>5.03</c:v>
                </c:pt>
                <c:pt idx="3">
                  <c:v>5.7160000000000002</c:v>
                </c:pt>
                <c:pt idx="4">
                  <c:v>6.4039999999999999</c:v>
                </c:pt>
                <c:pt idx="5">
                  <c:v>7.0940000000000003</c:v>
                </c:pt>
                <c:pt idx="6">
                  <c:v>7.7839999999999998</c:v>
                </c:pt>
                <c:pt idx="7">
                  <c:v>8.4749999999999996</c:v>
                </c:pt>
                <c:pt idx="8">
                  <c:v>9.1649999999999991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7BC-4804-8249-F5406D5D81CE}"/>
            </c:ext>
          </c:extLst>
        </c:ser>
        <c:ser>
          <c:idx val="8"/>
          <c:order val="8"/>
          <c:tx>
            <c:strRef>
              <c:f>'10K110'!$A$87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'10K110'!$K$87:$K$95</c:f>
              <c:numCache>
                <c:formatCode>0.00</c:formatCode>
                <c:ptCount val="9"/>
                <c:pt idx="0">
                  <c:v>3.7469999999999999</c:v>
                </c:pt>
                <c:pt idx="1">
                  <c:v>4.423</c:v>
                </c:pt>
                <c:pt idx="2">
                  <c:v>5.1070000000000002</c:v>
                </c:pt>
                <c:pt idx="3">
                  <c:v>5.7949999999999999</c:v>
                </c:pt>
                <c:pt idx="4">
                  <c:v>6.4850000000000003</c:v>
                </c:pt>
                <c:pt idx="5">
                  <c:v>7.1760000000000002</c:v>
                </c:pt>
                <c:pt idx="6">
                  <c:v>7.867</c:v>
                </c:pt>
                <c:pt idx="7">
                  <c:v>8.5589999999999993</c:v>
                </c:pt>
                <c:pt idx="8">
                  <c:v>9.25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7BC-4804-8249-F5406D5D81CE}"/>
            </c:ext>
          </c:extLst>
        </c:ser>
        <c:ser>
          <c:idx val="9"/>
          <c:order val="9"/>
          <c:tx>
            <c:strRef>
              <c:f>'10K110'!$A$96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'10K110'!$K$96:$K$104</c:f>
              <c:numCache>
                <c:formatCode>0.00</c:formatCode>
                <c:ptCount val="9"/>
                <c:pt idx="0">
                  <c:v>3.8180000000000001</c:v>
                </c:pt>
                <c:pt idx="1">
                  <c:v>4.4980000000000002</c:v>
                </c:pt>
                <c:pt idx="2">
                  <c:v>5.1840000000000002</c:v>
                </c:pt>
                <c:pt idx="3">
                  <c:v>5.875</c:v>
                </c:pt>
                <c:pt idx="4">
                  <c:v>6.5659999999999998</c:v>
                </c:pt>
                <c:pt idx="5">
                  <c:v>7.258</c:v>
                </c:pt>
                <c:pt idx="6">
                  <c:v>7.9630000000000001</c:v>
                </c:pt>
                <c:pt idx="7">
                  <c:v>8.8520000000000003</c:v>
                </c:pt>
                <c:pt idx="8">
                  <c:v>9.7319999999999993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87BC-4804-8249-F5406D5D81CE}"/>
            </c:ext>
          </c:extLst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'10K110'!$AO$1:$AO$2</c:f>
              <c:numCache>
                <c:formatCode>General</c:formatCode>
                <c:ptCount val="2"/>
                <c:pt idx="0">
                  <c:v>19.333333333333332</c:v>
                </c:pt>
                <c:pt idx="1">
                  <c:v>19.333333333333332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87BC-4804-8249-F5406D5D81CE}"/>
            </c:ext>
          </c:extLst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'10K110'!$AS$6:$AS$7</c:f>
              <c:numCache>
                <c:formatCode>0.00</c:formatCode>
                <c:ptCount val="2"/>
                <c:pt idx="0">
                  <c:v>1151.9999694824219</c:v>
                </c:pt>
                <c:pt idx="1">
                  <c:v>1151.9999694824219</c:v>
                </c:pt>
              </c:numCache>
            </c:numRef>
          </c:xVal>
          <c:yVal>
            <c:numRef>
              <c:f>'10K110'!$AR$1:$AR$2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87BC-4804-8249-F5406D5D81CE}"/>
            </c:ext>
          </c:extLst>
        </c:ser>
        <c:ser>
          <c:idx val="12"/>
          <c:order val="1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'10K110'!$L$9:$L$17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87BC-4804-8249-F5406D5D81CE}"/>
            </c:ext>
          </c:extLst>
        </c:ser>
        <c:ser>
          <c:idx val="13"/>
          <c:order val="1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'10K110'!$L$18:$L$26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87BC-4804-8249-F5406D5D81CE}"/>
            </c:ext>
          </c:extLst>
        </c:ser>
        <c:ser>
          <c:idx val="14"/>
          <c:order val="1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'10K110'!$L$27:$L$35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87BC-4804-8249-F5406D5D81CE}"/>
            </c:ext>
          </c:extLst>
        </c:ser>
        <c:ser>
          <c:idx val="15"/>
          <c:order val="1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'10K110'!$L$36:$L$44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87BC-4804-8249-F5406D5D81CE}"/>
            </c:ext>
          </c:extLst>
        </c:ser>
        <c:ser>
          <c:idx val="16"/>
          <c:order val="16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'10K110'!$L$45:$L$53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87BC-4804-8249-F5406D5D81CE}"/>
            </c:ext>
          </c:extLst>
        </c:ser>
        <c:ser>
          <c:idx val="17"/>
          <c:order val="1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'10K110'!$L$60:$L$68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87BC-4804-8249-F5406D5D81CE}"/>
            </c:ext>
          </c:extLst>
        </c:ser>
        <c:ser>
          <c:idx val="18"/>
          <c:order val="1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'10K110'!$L$69:$L$77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87BC-4804-8249-F5406D5D81CE}"/>
            </c:ext>
          </c:extLst>
        </c:ser>
        <c:ser>
          <c:idx val="19"/>
          <c:order val="19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'10K110'!$L$78:$L$86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87BC-4804-8249-F5406D5D81CE}"/>
            </c:ext>
          </c:extLst>
        </c:ser>
        <c:ser>
          <c:idx val="20"/>
          <c:order val="2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'10K110'!$L$87:$L$95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87BC-4804-8249-F5406D5D81CE}"/>
            </c:ext>
          </c:extLst>
        </c:ser>
        <c:ser>
          <c:idx val="21"/>
          <c:order val="2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'10K110'!$L$96:$L$104</c:f>
              <c:numCache>
                <c:formatCode>0.00</c:formatCode>
                <c:ptCount val="9"/>
                <c:pt idx="0">
                  <c:v>7.913978494623656</c:v>
                </c:pt>
                <c:pt idx="1">
                  <c:v>7.8129032258064504</c:v>
                </c:pt>
                <c:pt idx="2">
                  <c:v>7.7010752688172044</c:v>
                </c:pt>
                <c:pt idx="3">
                  <c:v>7.5806451612903221</c:v>
                </c:pt>
                <c:pt idx="4">
                  <c:v>7.4505376344086018</c:v>
                </c:pt>
                <c:pt idx="5">
                  <c:v>7.3096774193548377</c:v>
                </c:pt>
                <c:pt idx="6">
                  <c:v>7.1634408602150534</c:v>
                </c:pt>
                <c:pt idx="7">
                  <c:v>7.0139784946236556</c:v>
                </c:pt>
                <c:pt idx="8">
                  <c:v>6.8634408602150536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87BC-4804-8249-F5406D5D81CE}"/>
            </c:ext>
          </c:extLst>
        </c:ser>
        <c:ser>
          <c:idx val="22"/>
          <c:order val="22"/>
          <c:tx>
            <c:v>SDSRLimit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'10K110'!$AO$3:$AO$4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87BC-4804-8249-F5406D5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550656"/>
        <c:axId val="1353551232"/>
      </c:scatterChart>
      <c:valAx>
        <c:axId val="1353550656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6040296640772249"/>
              <c:y val="0.904256436030602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551232"/>
        <c:crossesAt val="-20"/>
        <c:crossBetween val="midCat"/>
      </c:valAx>
      <c:valAx>
        <c:axId val="1353551232"/>
        <c:scaling>
          <c:orientation val="minMax"/>
          <c:max val="50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 Stress Intensity (ksi)
Sig Dynamic Stress Range (ksi)</a:t>
                </a:r>
              </a:p>
            </c:rich>
          </c:tx>
          <c:layout>
            <c:manualLayout>
              <c:xMode val="edge"/>
              <c:yMode val="edge"/>
              <c:x val="2.4161073825503355E-2"/>
              <c:y val="0.194149215390629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550656"/>
        <c:crossesAt val="0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ayout>
        <c:manualLayout>
          <c:xMode val="edge"/>
          <c:yMode val="edge"/>
          <c:x val="0.86579923904363754"/>
          <c:y val="8.2449462968026341E-2"/>
          <c:w val="0.12215152054724189"/>
          <c:h val="0.81385598929729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Bending Moment at Lower Flex Joint</a:t>
            </a:r>
          </a:p>
        </c:rich>
      </c:tx>
      <c:layout>
        <c:manualLayout>
          <c:xMode val="edge"/>
          <c:yMode val="edge"/>
          <c:x val="0.32533375328083985"/>
          <c:y val="3.1914893617021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66683159743697"/>
          <c:y val="9.8404383109082949E-2"/>
          <c:w val="0.72933428298734759"/>
          <c:h val="0.760639285653992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'10K110'!$A$9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'10K110'!$E$9:$E$17</c:f>
              <c:numCache>
                <c:formatCode>0.0</c:formatCode>
                <c:ptCount val="9"/>
                <c:pt idx="0">
                  <c:v>134.21799999999999</c:v>
                </c:pt>
                <c:pt idx="1">
                  <c:v>125.18499999999999</c:v>
                </c:pt>
                <c:pt idx="2">
                  <c:v>119.637</c:v>
                </c:pt>
                <c:pt idx="3">
                  <c:v>115.874</c:v>
                </c:pt>
                <c:pt idx="4">
                  <c:v>113.148</c:v>
                </c:pt>
                <c:pt idx="5">
                  <c:v>111.07</c:v>
                </c:pt>
                <c:pt idx="6">
                  <c:v>109.41500000000001</c:v>
                </c:pt>
                <c:pt idx="7">
                  <c:v>108.042</c:v>
                </c:pt>
                <c:pt idx="8">
                  <c:v>106.85899999999999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58-40BC-8624-5B62947F578E}"/>
            </c:ext>
          </c:extLst>
        </c:ser>
        <c:ser>
          <c:idx val="1"/>
          <c:order val="1"/>
          <c:tx>
            <c:strRef>
              <c:f>'10K110'!$A$18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'10K110'!$E$18:$E$26</c:f>
              <c:numCache>
                <c:formatCode>0.0</c:formatCode>
                <c:ptCount val="9"/>
                <c:pt idx="0">
                  <c:v>111.178</c:v>
                </c:pt>
                <c:pt idx="1">
                  <c:v>102.47799999999999</c:v>
                </c:pt>
                <c:pt idx="2">
                  <c:v>97.16040000000001</c:v>
                </c:pt>
                <c:pt idx="3">
                  <c:v>93.577600000000004</c:v>
                </c:pt>
                <c:pt idx="4">
                  <c:v>91.003</c:v>
                </c:pt>
                <c:pt idx="5">
                  <c:v>89.058700000000002</c:v>
                </c:pt>
                <c:pt idx="6">
                  <c:v>87.525199999999998</c:v>
                </c:pt>
                <c:pt idx="7">
                  <c:v>86.265599999999992</c:v>
                </c:pt>
                <c:pt idx="8">
                  <c:v>85.191600000000008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58-40BC-8624-5B62947F578E}"/>
            </c:ext>
          </c:extLst>
        </c:ser>
        <c:ser>
          <c:idx val="2"/>
          <c:order val="2"/>
          <c:tx>
            <c:strRef>
              <c:f>'10K110'!$A$27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'10K110'!$E$27:$E$35</c:f>
              <c:numCache>
                <c:formatCode>0.0</c:formatCode>
                <c:ptCount val="9"/>
                <c:pt idx="0">
                  <c:v>88.138999999999996</c:v>
                </c:pt>
                <c:pt idx="1">
                  <c:v>79.770200000000003</c:v>
                </c:pt>
                <c:pt idx="2">
                  <c:v>74.684099999999987</c:v>
                </c:pt>
                <c:pt idx="3">
                  <c:v>71.281300000000002</c:v>
                </c:pt>
                <c:pt idx="4">
                  <c:v>68.857799999999997</c:v>
                </c:pt>
                <c:pt idx="5">
                  <c:v>67.046999999999997</c:v>
                </c:pt>
                <c:pt idx="6">
                  <c:v>65.635300000000001</c:v>
                </c:pt>
                <c:pt idx="7">
                  <c:v>64.489699999999999</c:v>
                </c:pt>
                <c:pt idx="8">
                  <c:v>63.524000000000001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58-40BC-8624-5B62947F578E}"/>
            </c:ext>
          </c:extLst>
        </c:ser>
        <c:ser>
          <c:idx val="3"/>
          <c:order val="3"/>
          <c:tx>
            <c:strRef>
              <c:f>'10K110'!$A$36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'10K110'!$E$36:$E$44</c:f>
              <c:numCache>
                <c:formatCode>0.0</c:formatCode>
                <c:ptCount val="9"/>
                <c:pt idx="0">
                  <c:v>65.099599999999995</c:v>
                </c:pt>
                <c:pt idx="1">
                  <c:v>57.062800000000003</c:v>
                </c:pt>
                <c:pt idx="2">
                  <c:v>52.207700000000003</c:v>
                </c:pt>
                <c:pt idx="3">
                  <c:v>48.984999999999999</c:v>
                </c:pt>
                <c:pt idx="4">
                  <c:v>46.712700000000005</c:v>
                </c:pt>
                <c:pt idx="5">
                  <c:v>45.035299999999999</c:v>
                </c:pt>
                <c:pt idx="6">
                  <c:v>43.745400000000004</c:v>
                </c:pt>
                <c:pt idx="7">
                  <c:v>42.713800000000006</c:v>
                </c:pt>
                <c:pt idx="8">
                  <c:v>41.856400000000001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58-40BC-8624-5B62947F578E}"/>
            </c:ext>
          </c:extLst>
        </c:ser>
        <c:ser>
          <c:idx val="4"/>
          <c:order val="4"/>
          <c:tx>
            <c:strRef>
              <c:f>'10K110'!$A$45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'10K110'!$E$45:$E$53</c:f>
              <c:numCache>
                <c:formatCode>0.0</c:formatCode>
                <c:ptCount val="9"/>
                <c:pt idx="0">
                  <c:v>42.060199999999995</c:v>
                </c:pt>
                <c:pt idx="1">
                  <c:v>34.3553</c:v>
                </c:pt>
                <c:pt idx="2">
                  <c:v>29.731300000000001</c:v>
                </c:pt>
                <c:pt idx="3">
                  <c:v>26.688699999999997</c:v>
                </c:pt>
                <c:pt idx="4">
                  <c:v>24.567499999999999</c:v>
                </c:pt>
                <c:pt idx="5">
                  <c:v>23.023499999999999</c:v>
                </c:pt>
                <c:pt idx="6">
                  <c:v>21.855599999999999</c:v>
                </c:pt>
                <c:pt idx="7">
                  <c:v>20.937900000000003</c:v>
                </c:pt>
                <c:pt idx="8">
                  <c:v>20.1889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B58-40BC-8624-5B62947F578E}"/>
            </c:ext>
          </c:extLst>
        </c:ser>
        <c:ser>
          <c:idx val="5"/>
          <c:order val="5"/>
          <c:tx>
            <c:strRef>
              <c:f>'10K110'!$A$60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'10K110'!$E$60:$E$68</c:f>
              <c:numCache>
                <c:formatCode>0.0</c:formatCode>
                <c:ptCount val="9"/>
                <c:pt idx="0">
                  <c:v>19.020699999999998</c:v>
                </c:pt>
                <c:pt idx="1">
                  <c:v>11.6479</c:v>
                </c:pt>
                <c:pt idx="2">
                  <c:v>7.2549399999999995</c:v>
                </c:pt>
                <c:pt idx="3">
                  <c:v>9.0372699999999995</c:v>
                </c:pt>
                <c:pt idx="4">
                  <c:v>12.195699999999999</c:v>
                </c:pt>
                <c:pt idx="5">
                  <c:v>14.6593</c:v>
                </c:pt>
                <c:pt idx="6">
                  <c:v>16.633600000000001</c:v>
                </c:pt>
                <c:pt idx="7">
                  <c:v>18.242799999999999</c:v>
                </c:pt>
                <c:pt idx="8">
                  <c:v>19.567599999999999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7B58-40BC-8624-5B62947F578E}"/>
            </c:ext>
          </c:extLst>
        </c:ser>
        <c:ser>
          <c:idx val="6"/>
          <c:order val="6"/>
          <c:tx>
            <c:strRef>
              <c:f>'10K110'!$A$69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'10K110'!$E$69:$E$77</c:f>
              <c:numCache>
                <c:formatCode>0.0</c:formatCode>
                <c:ptCount val="9"/>
                <c:pt idx="0">
                  <c:v>12.6332</c:v>
                </c:pt>
                <c:pt idx="1">
                  <c:v>21.5441</c:v>
                </c:pt>
                <c:pt idx="2">
                  <c:v>27.294800000000002</c:v>
                </c:pt>
                <c:pt idx="3">
                  <c:v>31.333599999999997</c:v>
                </c:pt>
                <c:pt idx="4">
                  <c:v>34.340900000000005</c:v>
                </c:pt>
                <c:pt idx="5">
                  <c:v>36.671099999999996</c:v>
                </c:pt>
                <c:pt idx="6">
                  <c:v>38.523499999999999</c:v>
                </c:pt>
                <c:pt idx="7">
                  <c:v>40.018700000000003</c:v>
                </c:pt>
                <c:pt idx="8">
                  <c:v>41.235199999999999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7B58-40BC-8624-5B62947F578E}"/>
            </c:ext>
          </c:extLst>
        </c:ser>
        <c:ser>
          <c:idx val="7"/>
          <c:order val="7"/>
          <c:tx>
            <c:strRef>
              <c:f>'10K110'!$A$78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'10K110'!$E$78:$E$86</c:f>
              <c:numCache>
                <c:formatCode>0.0</c:formatCode>
                <c:ptCount val="9"/>
                <c:pt idx="0">
                  <c:v>35.672700000000006</c:v>
                </c:pt>
                <c:pt idx="1">
                  <c:v>44.2515</c:v>
                </c:pt>
                <c:pt idx="2">
                  <c:v>49.771099999999997</c:v>
                </c:pt>
                <c:pt idx="3">
                  <c:v>53.629899999999992</c:v>
                </c:pt>
                <c:pt idx="4">
                  <c:v>56.485999999999997</c:v>
                </c:pt>
                <c:pt idx="5">
                  <c:v>58.6828</c:v>
                </c:pt>
                <c:pt idx="6">
                  <c:v>60.4133</c:v>
                </c:pt>
                <c:pt idx="7">
                  <c:v>61.794700000000006</c:v>
                </c:pt>
                <c:pt idx="8">
                  <c:v>62.902699999999996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B58-40BC-8624-5B62947F578E}"/>
            </c:ext>
          </c:extLst>
        </c:ser>
        <c:ser>
          <c:idx val="8"/>
          <c:order val="8"/>
          <c:tx>
            <c:strRef>
              <c:f>'10K110'!$A$87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'10K110'!$E$87:$E$95</c:f>
              <c:numCache>
                <c:formatCode>0.0</c:formatCode>
                <c:ptCount val="9"/>
                <c:pt idx="0">
                  <c:v>58.7121</c:v>
                </c:pt>
                <c:pt idx="1">
                  <c:v>66.959000000000003</c:v>
                </c:pt>
                <c:pt idx="2">
                  <c:v>72.247500000000002</c:v>
                </c:pt>
                <c:pt idx="3">
                  <c:v>75.926199999999994</c:v>
                </c:pt>
                <c:pt idx="4">
                  <c:v>78.631199999999993</c:v>
                </c:pt>
                <c:pt idx="5">
                  <c:v>80.694500000000005</c:v>
                </c:pt>
                <c:pt idx="6">
                  <c:v>82.303200000000004</c:v>
                </c:pt>
                <c:pt idx="7">
                  <c:v>83.570599999999985</c:v>
                </c:pt>
                <c:pt idx="8">
                  <c:v>84.570300000000003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7B58-40BC-8624-5B62947F578E}"/>
            </c:ext>
          </c:extLst>
        </c:ser>
        <c:ser>
          <c:idx val="9"/>
          <c:order val="9"/>
          <c:tx>
            <c:strRef>
              <c:f>'10K110'!$A$96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'10K110'!$E$96:$E$104</c:f>
              <c:numCache>
                <c:formatCode>0.0</c:formatCode>
                <c:ptCount val="9"/>
                <c:pt idx="0">
                  <c:v>81.751499999999993</c:v>
                </c:pt>
                <c:pt idx="1">
                  <c:v>89.666499999999999</c:v>
                </c:pt>
                <c:pt idx="2">
                  <c:v>94.723900000000015</c:v>
                </c:pt>
                <c:pt idx="3">
                  <c:v>98.222499999999997</c:v>
                </c:pt>
                <c:pt idx="4">
                  <c:v>100.776</c:v>
                </c:pt>
                <c:pt idx="5">
                  <c:v>102.706</c:v>
                </c:pt>
                <c:pt idx="6">
                  <c:v>104.193</c:v>
                </c:pt>
                <c:pt idx="7">
                  <c:v>105.346</c:v>
                </c:pt>
                <c:pt idx="8">
                  <c:v>106.238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7B58-40BC-8624-5B62947F5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555264"/>
        <c:axId val="1353826304"/>
      </c:scatterChart>
      <c:valAx>
        <c:axId val="1353555264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4933389326334205"/>
              <c:y val="0.914894733902942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826304"/>
        <c:crossesAt val="-20"/>
        <c:crossBetween val="midCat"/>
      </c:valAx>
      <c:valAx>
        <c:axId val="1353826304"/>
        <c:scaling>
          <c:orientation val="minMax"/>
          <c:max val="600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Bending Moment at LFJ (kip-ft)</a:t>
                </a:r>
              </a:p>
            </c:rich>
          </c:tx>
          <c:layout>
            <c:manualLayout>
              <c:xMode val="edge"/>
              <c:yMode val="edge"/>
              <c:x val="4.5333333333333337E-2"/>
              <c:y val="0.183510917518288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555264"/>
        <c:crossesAt val="0"/>
        <c:crossBetween val="midCat"/>
        <c:min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402784464733728"/>
          <c:y val="0.19415518698922332"/>
          <c:w val="0.12400399622253451"/>
          <c:h val="0.797898028722835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Shear at Lower Flex Joint</a:t>
            </a:r>
          </a:p>
        </c:rich>
      </c:tx>
      <c:layout>
        <c:manualLayout>
          <c:xMode val="edge"/>
          <c:yMode val="edge"/>
          <c:x val="0.37650200267022699"/>
          <c:y val="1.8617021276595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441922563417896E-2"/>
          <c:y val="8.2446915577880309E-2"/>
          <c:w val="0.78104138851802407"/>
          <c:h val="0.787235064872663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'10K110'!$A$9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'10K110'!$F$9:$F$17</c:f>
              <c:numCache>
                <c:formatCode>0.0</c:formatCode>
                <c:ptCount val="9"/>
                <c:pt idx="0">
                  <c:v>41.795999999999999</c:v>
                </c:pt>
                <c:pt idx="1">
                  <c:v>51.368000000000002</c:v>
                </c:pt>
                <c:pt idx="2">
                  <c:v>60.99</c:v>
                </c:pt>
                <c:pt idx="3">
                  <c:v>70.664000000000001</c:v>
                </c:pt>
                <c:pt idx="4">
                  <c:v>80.394000000000005</c:v>
                </c:pt>
                <c:pt idx="5">
                  <c:v>90.177999999999997</c:v>
                </c:pt>
                <c:pt idx="6">
                  <c:v>100</c:v>
                </c:pt>
                <c:pt idx="7">
                  <c:v>109.86</c:v>
                </c:pt>
                <c:pt idx="8">
                  <c:v>119.73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E0-45D5-96F7-7D72310BA815}"/>
            </c:ext>
          </c:extLst>
        </c:ser>
        <c:ser>
          <c:idx val="1"/>
          <c:order val="1"/>
          <c:tx>
            <c:strRef>
              <c:f>'10K110'!$A$18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'10K110'!$F$18:$F$26</c:f>
              <c:numCache>
                <c:formatCode>0.0</c:formatCode>
                <c:ptCount val="9"/>
                <c:pt idx="0">
                  <c:v>34.661000000000001</c:v>
                </c:pt>
                <c:pt idx="1">
                  <c:v>42.084000000000003</c:v>
                </c:pt>
                <c:pt idx="2">
                  <c:v>49.561</c:v>
                </c:pt>
                <c:pt idx="3">
                  <c:v>57.093000000000011</c:v>
                </c:pt>
                <c:pt idx="4">
                  <c:v>64.683999999999997</c:v>
                </c:pt>
                <c:pt idx="5">
                  <c:v>72.328999999999994</c:v>
                </c:pt>
                <c:pt idx="6">
                  <c:v>80.018000000000001</c:v>
                </c:pt>
                <c:pt idx="7">
                  <c:v>87.736000000000004</c:v>
                </c:pt>
                <c:pt idx="8">
                  <c:v>95.468000000000004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FE0-45D5-96F7-7D72310BA815}"/>
            </c:ext>
          </c:extLst>
        </c:ser>
        <c:ser>
          <c:idx val="2"/>
          <c:order val="2"/>
          <c:tx>
            <c:strRef>
              <c:f>'10K110'!$A$27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'10K110'!$F$27:$F$35</c:f>
              <c:numCache>
                <c:formatCode>0.0</c:formatCode>
                <c:ptCount val="9"/>
                <c:pt idx="0">
                  <c:v>27.524999999999999</c:v>
                </c:pt>
                <c:pt idx="1">
                  <c:v>32.798999999999999</c:v>
                </c:pt>
                <c:pt idx="2">
                  <c:v>38.131999999999998</c:v>
                </c:pt>
                <c:pt idx="3">
                  <c:v>43.521999999999998</c:v>
                </c:pt>
                <c:pt idx="4">
                  <c:v>48.972999999999999</c:v>
                </c:pt>
                <c:pt idx="5">
                  <c:v>54.47999999999999</c:v>
                </c:pt>
                <c:pt idx="6">
                  <c:v>60.030999999999999</c:v>
                </c:pt>
                <c:pt idx="7">
                  <c:v>65.613</c:v>
                </c:pt>
                <c:pt idx="8">
                  <c:v>71.209999999999994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FE0-45D5-96F7-7D72310BA815}"/>
            </c:ext>
          </c:extLst>
        </c:ser>
        <c:ser>
          <c:idx val="3"/>
          <c:order val="3"/>
          <c:tx>
            <c:strRef>
              <c:f>'10K110'!$A$36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'10K110'!$F$36:$F$44</c:f>
              <c:numCache>
                <c:formatCode>0.0</c:formatCode>
                <c:ptCount val="9"/>
                <c:pt idx="0">
                  <c:v>20.388999999999999</c:v>
                </c:pt>
                <c:pt idx="1">
                  <c:v>23.515000000000001</c:v>
                </c:pt>
                <c:pt idx="2">
                  <c:v>26.702999999999999</c:v>
                </c:pt>
                <c:pt idx="3">
                  <c:v>29.951000000000001</c:v>
                </c:pt>
                <c:pt idx="4">
                  <c:v>33.262</c:v>
                </c:pt>
                <c:pt idx="5">
                  <c:v>36.630000000000003</c:v>
                </c:pt>
                <c:pt idx="6">
                  <c:v>40.045000000000002</c:v>
                </c:pt>
                <c:pt idx="7">
                  <c:v>43.491</c:v>
                </c:pt>
                <c:pt idx="8">
                  <c:v>46.951999999999998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FE0-45D5-96F7-7D72310BA815}"/>
            </c:ext>
          </c:extLst>
        </c:ser>
        <c:ser>
          <c:idx val="4"/>
          <c:order val="4"/>
          <c:tx>
            <c:strRef>
              <c:f>'10K110'!$A$45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'10K110'!$F$45:$F$53</c:f>
              <c:numCache>
                <c:formatCode>0.0</c:formatCode>
                <c:ptCount val="9"/>
                <c:pt idx="0">
                  <c:v>13.253</c:v>
                </c:pt>
                <c:pt idx="1">
                  <c:v>14.230000000000002</c:v>
                </c:pt>
                <c:pt idx="2">
                  <c:v>15.273999999999997</c:v>
                </c:pt>
                <c:pt idx="3">
                  <c:v>16.381</c:v>
                </c:pt>
                <c:pt idx="4">
                  <c:v>17.552</c:v>
                </c:pt>
                <c:pt idx="5">
                  <c:v>18.780999999999999</c:v>
                </c:pt>
                <c:pt idx="6">
                  <c:v>20.058</c:v>
                </c:pt>
                <c:pt idx="7">
                  <c:v>21.367999999999999</c:v>
                </c:pt>
                <c:pt idx="8">
                  <c:v>22.693999999999999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FE0-45D5-96F7-7D72310BA815}"/>
            </c:ext>
          </c:extLst>
        </c:ser>
        <c:ser>
          <c:idx val="5"/>
          <c:order val="5"/>
          <c:tx>
            <c:strRef>
              <c:f>'10K110'!$A$60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'10K110'!$F$60:$F$68</c:f>
              <c:numCache>
                <c:formatCode>0.0</c:formatCode>
                <c:ptCount val="9"/>
                <c:pt idx="0">
                  <c:v>6.1173000000000002</c:v>
                </c:pt>
                <c:pt idx="1">
                  <c:v>4.9459999999999997</c:v>
                </c:pt>
                <c:pt idx="2">
                  <c:v>3.8447999999999998</c:v>
                </c:pt>
                <c:pt idx="3">
                  <c:v>5.4037999999999995</c:v>
                </c:pt>
                <c:pt idx="4">
                  <c:v>8.5615000000000006</c:v>
                </c:pt>
                <c:pt idx="5">
                  <c:v>11.801</c:v>
                </c:pt>
                <c:pt idx="6">
                  <c:v>15.106</c:v>
                </c:pt>
                <c:pt idx="7">
                  <c:v>18.454999999999998</c:v>
                </c:pt>
                <c:pt idx="8">
                  <c:v>21.832000000000001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FE0-45D5-96F7-7D72310BA815}"/>
            </c:ext>
          </c:extLst>
        </c:ser>
        <c:ser>
          <c:idx val="6"/>
          <c:order val="6"/>
          <c:tx>
            <c:strRef>
              <c:f>'10K110'!$A$69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'10K110'!$F$69:$F$77</c:f>
              <c:numCache>
                <c:formatCode>0.0</c:formatCode>
                <c:ptCount val="9"/>
                <c:pt idx="0">
                  <c:v>3.7818000000000001</c:v>
                </c:pt>
                <c:pt idx="1">
                  <c:v>8.6936</c:v>
                </c:pt>
                <c:pt idx="2">
                  <c:v>13.773999999999999</c:v>
                </c:pt>
                <c:pt idx="3">
                  <c:v>18.975000000000001</c:v>
                </c:pt>
                <c:pt idx="4">
                  <c:v>24.271999999999998</c:v>
                </c:pt>
                <c:pt idx="5">
                  <c:v>29.651</c:v>
                </c:pt>
                <c:pt idx="6">
                  <c:v>35.091999999999999</c:v>
                </c:pt>
                <c:pt idx="7">
                  <c:v>40.578000000000003</c:v>
                </c:pt>
                <c:pt idx="8">
                  <c:v>46.09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9FE0-45D5-96F7-7D72310BA815}"/>
            </c:ext>
          </c:extLst>
        </c:ser>
        <c:ser>
          <c:idx val="7"/>
          <c:order val="7"/>
          <c:tx>
            <c:strRef>
              <c:f>'10K110'!$A$78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'10K110'!$F$78:$F$86</c:f>
              <c:numCache>
                <c:formatCode>0.0</c:formatCode>
                <c:ptCount val="9"/>
                <c:pt idx="0">
                  <c:v>10.917999999999999</c:v>
                </c:pt>
                <c:pt idx="1">
                  <c:v>17.978000000000002</c:v>
                </c:pt>
                <c:pt idx="2">
                  <c:v>25.202999999999996</c:v>
                </c:pt>
                <c:pt idx="3">
                  <c:v>32.545000000000002</c:v>
                </c:pt>
                <c:pt idx="4">
                  <c:v>39.982999999999997</c:v>
                </c:pt>
                <c:pt idx="5">
                  <c:v>47.5</c:v>
                </c:pt>
                <c:pt idx="6">
                  <c:v>55.079000000000001</c:v>
                </c:pt>
                <c:pt idx="7">
                  <c:v>62.700999999999993</c:v>
                </c:pt>
                <c:pt idx="8">
                  <c:v>70.347999999999999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9FE0-45D5-96F7-7D72310BA815}"/>
            </c:ext>
          </c:extLst>
        </c:ser>
        <c:ser>
          <c:idx val="8"/>
          <c:order val="8"/>
          <c:tx>
            <c:strRef>
              <c:f>'10K110'!$A$87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'10K110'!$F$87:$F$95</c:f>
              <c:numCache>
                <c:formatCode>0.0</c:formatCode>
                <c:ptCount val="9"/>
                <c:pt idx="0">
                  <c:v>18.053000000000001</c:v>
                </c:pt>
                <c:pt idx="1">
                  <c:v>27.263000000000002</c:v>
                </c:pt>
                <c:pt idx="2">
                  <c:v>36.631999999999998</c:v>
                </c:pt>
                <c:pt idx="3">
                  <c:v>46.116</c:v>
                </c:pt>
                <c:pt idx="4">
                  <c:v>55.694000000000003</c:v>
                </c:pt>
                <c:pt idx="5">
                  <c:v>65.349000000000004</c:v>
                </c:pt>
                <c:pt idx="6">
                  <c:v>75.064999999999998</c:v>
                </c:pt>
                <c:pt idx="7">
                  <c:v>84.823999999999998</c:v>
                </c:pt>
                <c:pt idx="8">
                  <c:v>94.606999999999999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9FE0-45D5-96F7-7D72310BA815}"/>
            </c:ext>
          </c:extLst>
        </c:ser>
        <c:ser>
          <c:idx val="9"/>
          <c:order val="9"/>
          <c:tx>
            <c:strRef>
              <c:f>'10K110'!$A$96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'10K110'!$F$96:$F$104</c:f>
              <c:numCache>
                <c:formatCode>0.0</c:formatCode>
                <c:ptCount val="9"/>
                <c:pt idx="0">
                  <c:v>25.189</c:v>
                </c:pt>
                <c:pt idx="1">
                  <c:v>36.546999999999997</c:v>
                </c:pt>
                <c:pt idx="2">
                  <c:v>48.061</c:v>
                </c:pt>
                <c:pt idx="3">
                  <c:v>59.686999999999998</c:v>
                </c:pt>
                <c:pt idx="4">
                  <c:v>71.403999999999996</c:v>
                </c:pt>
                <c:pt idx="5">
                  <c:v>83.197999999999993</c:v>
                </c:pt>
                <c:pt idx="6">
                  <c:v>95.052000000000007</c:v>
                </c:pt>
                <c:pt idx="7">
                  <c:v>106.95</c:v>
                </c:pt>
                <c:pt idx="8">
                  <c:v>118.86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9FE0-45D5-96F7-7D72310BA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829184"/>
        <c:axId val="1353829760"/>
      </c:scatterChart>
      <c:valAx>
        <c:axId val="1353829184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3124165554072097"/>
              <c:y val="0.914894733902942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829760"/>
        <c:crossesAt val="-20"/>
        <c:crossBetween val="midCat"/>
      </c:valAx>
      <c:valAx>
        <c:axId val="1353829760"/>
        <c:scaling>
          <c:orientation val="minMax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Shear at Lower FJ (kips)</a:t>
                </a:r>
              </a:p>
            </c:rich>
          </c:tx>
          <c:layout>
            <c:manualLayout>
              <c:xMode val="edge"/>
              <c:yMode val="edge"/>
              <c:x val="6.6755674232309749E-3"/>
              <c:y val="0.244681130284246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829184"/>
        <c:crossesAt val="0"/>
        <c:crossBetween val="midCat"/>
        <c:majorUnit val="20"/>
        <c:minorUnit val="1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319123427633982"/>
          <c:y val="0.19415518698922332"/>
          <c:w val="0.12149908611490355"/>
          <c:h val="0.797898028722835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Lower Flex Joint Angle</a:t>
            </a:r>
          </a:p>
        </c:rich>
      </c:tx>
      <c:layout>
        <c:manualLayout>
          <c:xMode val="edge"/>
          <c:yMode val="edge"/>
          <c:x val="0.36021547709762086"/>
          <c:y val="3.1914893617021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989354929743852E-2"/>
          <c:y val="0.1196810064840198"/>
          <c:w val="0.76344186229663125"/>
          <c:h val="0.70212857137291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'10K110'!$A$9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'10K110'!$G$9:$G$17</c:f>
              <c:numCache>
                <c:formatCode>0.0</c:formatCode>
                <c:ptCount val="9"/>
                <c:pt idx="0">
                  <c:v>-6.5</c:v>
                </c:pt>
                <c:pt idx="1">
                  <c:v>-6</c:v>
                </c:pt>
                <c:pt idx="2">
                  <c:v>-5.68</c:v>
                </c:pt>
                <c:pt idx="3">
                  <c:v>-5.46</c:v>
                </c:pt>
                <c:pt idx="4">
                  <c:v>-5.29</c:v>
                </c:pt>
                <c:pt idx="5">
                  <c:v>-5.16</c:v>
                </c:pt>
                <c:pt idx="6">
                  <c:v>-5.0599999999999996</c:v>
                </c:pt>
                <c:pt idx="7">
                  <c:v>-4.97</c:v>
                </c:pt>
                <c:pt idx="8">
                  <c:v>-4.8899999999999997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DC-449A-BD3A-F6C2D4DB6725}"/>
            </c:ext>
          </c:extLst>
        </c:ser>
        <c:ser>
          <c:idx val="1"/>
          <c:order val="1"/>
          <c:tx>
            <c:strRef>
              <c:f>'10K110'!$A$18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'10K110'!$G$18:$G$26</c:f>
              <c:numCache>
                <c:formatCode>0.0</c:formatCode>
                <c:ptCount val="9"/>
                <c:pt idx="0">
                  <c:v>-5.34</c:v>
                </c:pt>
                <c:pt idx="1">
                  <c:v>-4.8600000000000003</c:v>
                </c:pt>
                <c:pt idx="2">
                  <c:v>-4.5599999999999996</c:v>
                </c:pt>
                <c:pt idx="3">
                  <c:v>-4.34</c:v>
                </c:pt>
                <c:pt idx="4">
                  <c:v>-4.18</c:v>
                </c:pt>
                <c:pt idx="5">
                  <c:v>-4.0599999999999996</c:v>
                </c:pt>
                <c:pt idx="6">
                  <c:v>-3.96</c:v>
                </c:pt>
                <c:pt idx="7">
                  <c:v>-3.88</c:v>
                </c:pt>
                <c:pt idx="8">
                  <c:v>-3.81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DC-449A-BD3A-F6C2D4DB6725}"/>
            </c:ext>
          </c:extLst>
        </c:ser>
        <c:ser>
          <c:idx val="2"/>
          <c:order val="2"/>
          <c:tx>
            <c:strRef>
              <c:f>'10K110'!$A$27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'10K110'!$G$27:$G$35</c:f>
              <c:numCache>
                <c:formatCode>0.00</c:formatCode>
                <c:ptCount val="9"/>
                <c:pt idx="0">
                  <c:v>-4.1900000000000004</c:v>
                </c:pt>
                <c:pt idx="1">
                  <c:v>-3.73</c:v>
                </c:pt>
                <c:pt idx="2">
                  <c:v>-3.43</c:v>
                </c:pt>
                <c:pt idx="3">
                  <c:v>-3.23</c:v>
                </c:pt>
                <c:pt idx="4">
                  <c:v>-3.08</c:v>
                </c:pt>
                <c:pt idx="5">
                  <c:v>-2.96</c:v>
                </c:pt>
                <c:pt idx="6">
                  <c:v>-2.87</c:v>
                </c:pt>
                <c:pt idx="7">
                  <c:v>-2.79</c:v>
                </c:pt>
                <c:pt idx="8">
                  <c:v>-2.72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DC-449A-BD3A-F6C2D4DB6725}"/>
            </c:ext>
          </c:extLst>
        </c:ser>
        <c:ser>
          <c:idx val="3"/>
          <c:order val="3"/>
          <c:tx>
            <c:strRef>
              <c:f>'10K110'!$A$36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'10K110'!$G$36:$G$44</c:f>
              <c:numCache>
                <c:formatCode>0.00</c:formatCode>
                <c:ptCount val="9"/>
                <c:pt idx="0">
                  <c:v>-3.04</c:v>
                </c:pt>
                <c:pt idx="1">
                  <c:v>-2.59</c:v>
                </c:pt>
                <c:pt idx="2">
                  <c:v>-2.31</c:v>
                </c:pt>
                <c:pt idx="3">
                  <c:v>-2.11</c:v>
                </c:pt>
                <c:pt idx="4">
                  <c:v>-1.97</c:v>
                </c:pt>
                <c:pt idx="5">
                  <c:v>-1.86</c:v>
                </c:pt>
                <c:pt idx="6">
                  <c:v>-1.77</c:v>
                </c:pt>
                <c:pt idx="7">
                  <c:v>-1.7</c:v>
                </c:pt>
                <c:pt idx="8">
                  <c:v>-1.64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FDC-449A-BD3A-F6C2D4DB6725}"/>
            </c:ext>
          </c:extLst>
        </c:ser>
        <c:ser>
          <c:idx val="4"/>
          <c:order val="4"/>
          <c:tx>
            <c:strRef>
              <c:f>'10K110'!$A$45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'10K110'!$G$45:$G$53</c:f>
              <c:numCache>
                <c:formatCode>0.00</c:formatCode>
                <c:ptCount val="9"/>
                <c:pt idx="0">
                  <c:v>-1.89</c:v>
                </c:pt>
                <c:pt idx="1">
                  <c:v>-1.46</c:v>
                </c:pt>
                <c:pt idx="2">
                  <c:v>-1.18</c:v>
                </c:pt>
                <c:pt idx="3">
                  <c:v>-1</c:v>
                </c:pt>
                <c:pt idx="4">
                  <c:v>-0.86</c:v>
                </c:pt>
                <c:pt idx="5">
                  <c:v>-0.76</c:v>
                </c:pt>
                <c:pt idx="6">
                  <c:v>-0.68</c:v>
                </c:pt>
                <c:pt idx="7" formatCode="General">
                  <c:v>-0.61</c:v>
                </c:pt>
                <c:pt idx="8">
                  <c:v>-0.56000000000000005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FDC-449A-BD3A-F6C2D4DB6725}"/>
            </c:ext>
          </c:extLst>
        </c:ser>
        <c:ser>
          <c:idx val="5"/>
          <c:order val="5"/>
          <c:tx>
            <c:strRef>
              <c:f>'10K110'!$A$60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'10K110'!$G$60:$G$68</c:f>
              <c:numCache>
                <c:formatCode>0.00</c:formatCode>
                <c:ptCount val="9"/>
                <c:pt idx="0">
                  <c:v>-0.74</c:v>
                </c:pt>
                <c:pt idx="1">
                  <c:v>-0.32</c:v>
                </c:pt>
                <c:pt idx="2">
                  <c:v>-0.06</c:v>
                </c:pt>
                <c:pt idx="3">
                  <c:v>0.12</c:v>
                </c:pt>
                <c:pt idx="4">
                  <c:v>0.24</c:v>
                </c:pt>
                <c:pt idx="5">
                  <c:v>0.34</c:v>
                </c:pt>
                <c:pt idx="6">
                  <c:v>0.42</c:v>
                </c:pt>
                <c:pt idx="7" formatCode="General">
                  <c:v>0.48</c:v>
                </c:pt>
                <c:pt idx="8" formatCode="General">
                  <c:v>0.53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2FDC-449A-BD3A-F6C2D4DB6725}"/>
            </c:ext>
          </c:extLst>
        </c:ser>
        <c:ser>
          <c:idx val="6"/>
          <c:order val="6"/>
          <c:tx>
            <c:strRef>
              <c:f>'10K110'!$A$69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'10K110'!$G$69:$G$77</c:f>
              <c:numCache>
                <c:formatCode>0.00</c:formatCode>
                <c:ptCount val="9"/>
                <c:pt idx="0">
                  <c:v>0.42</c:v>
                </c:pt>
                <c:pt idx="1">
                  <c:v>0.82</c:v>
                </c:pt>
                <c:pt idx="2">
                  <c:v>1.06</c:v>
                </c:pt>
                <c:pt idx="3">
                  <c:v>1.23</c:v>
                </c:pt>
                <c:pt idx="4">
                  <c:v>1.35</c:v>
                </c:pt>
                <c:pt idx="5">
                  <c:v>1.44</c:v>
                </c:pt>
                <c:pt idx="6">
                  <c:v>1.51</c:v>
                </c:pt>
                <c:pt idx="7" formatCode="General">
                  <c:v>1.57</c:v>
                </c:pt>
                <c:pt idx="8" formatCode="General">
                  <c:v>1.61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2FDC-449A-BD3A-F6C2D4DB6725}"/>
            </c:ext>
          </c:extLst>
        </c:ser>
        <c:ser>
          <c:idx val="7"/>
          <c:order val="7"/>
          <c:tx>
            <c:strRef>
              <c:f>'10K110'!$A$78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'10K110'!$G$78:$G$86</c:f>
              <c:numCache>
                <c:formatCode>0.00</c:formatCode>
                <c:ptCount val="9"/>
                <c:pt idx="0">
                  <c:v>1.57</c:v>
                </c:pt>
                <c:pt idx="1">
                  <c:v>1.95</c:v>
                </c:pt>
                <c:pt idx="2">
                  <c:v>2.19</c:v>
                </c:pt>
                <c:pt idx="3">
                  <c:v>2.35</c:v>
                </c:pt>
                <c:pt idx="4">
                  <c:v>2.46</c:v>
                </c:pt>
                <c:pt idx="5">
                  <c:v>2.54</c:v>
                </c:pt>
                <c:pt idx="6">
                  <c:v>2.61</c:v>
                </c:pt>
                <c:pt idx="7" formatCode="General">
                  <c:v>2.65</c:v>
                </c:pt>
                <c:pt idx="8" formatCode="General">
                  <c:v>2.69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2FDC-449A-BD3A-F6C2D4DB6725}"/>
            </c:ext>
          </c:extLst>
        </c:ser>
        <c:ser>
          <c:idx val="8"/>
          <c:order val="8"/>
          <c:tx>
            <c:strRef>
              <c:f>'10K110'!$A$87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'10K110'!$G$87:$G$95</c:f>
              <c:numCache>
                <c:formatCode>0.00</c:formatCode>
                <c:ptCount val="9"/>
                <c:pt idx="0">
                  <c:v>2.72</c:v>
                </c:pt>
                <c:pt idx="1">
                  <c:v>3.09</c:v>
                </c:pt>
                <c:pt idx="2">
                  <c:v>3.31</c:v>
                </c:pt>
                <c:pt idx="3">
                  <c:v>3.46</c:v>
                </c:pt>
                <c:pt idx="4">
                  <c:v>3.57</c:v>
                </c:pt>
                <c:pt idx="5">
                  <c:v>3.64</c:v>
                </c:pt>
                <c:pt idx="6">
                  <c:v>3.7</c:v>
                </c:pt>
                <c:pt idx="7" formatCode="General">
                  <c:v>3.74</c:v>
                </c:pt>
                <c:pt idx="8" formatCode="General">
                  <c:v>3.78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2FDC-449A-BD3A-F6C2D4DB6725}"/>
            </c:ext>
          </c:extLst>
        </c:ser>
        <c:ser>
          <c:idx val="9"/>
          <c:order val="9"/>
          <c:tx>
            <c:strRef>
              <c:f>'10K110'!$A$96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'10K110'!$G$96:$G$104</c:f>
              <c:numCache>
                <c:formatCode>0.00</c:formatCode>
                <c:ptCount val="9"/>
                <c:pt idx="0">
                  <c:v>3.87</c:v>
                </c:pt>
                <c:pt idx="1">
                  <c:v>4.22</c:v>
                </c:pt>
                <c:pt idx="2">
                  <c:v>4.43</c:v>
                </c:pt>
                <c:pt idx="3">
                  <c:v>4.58</c:v>
                </c:pt>
                <c:pt idx="4">
                  <c:v>4.67</c:v>
                </c:pt>
                <c:pt idx="5">
                  <c:v>4.74</c:v>
                </c:pt>
                <c:pt idx="6">
                  <c:v>4.79</c:v>
                </c:pt>
                <c:pt idx="7" formatCode="General">
                  <c:v>4.83</c:v>
                </c:pt>
                <c:pt idx="8" formatCode="General">
                  <c:v>4.8600000000000003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2FDC-449A-BD3A-F6C2D4DB6725}"/>
            </c:ext>
          </c:extLst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'10K110'!$AM$1:$AM$2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FDC-449A-BD3A-F6C2D4DB6725}"/>
            </c:ext>
          </c:extLst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'10K110'!$AS$6:$AS$7</c:f>
              <c:numCache>
                <c:formatCode>0.00</c:formatCode>
                <c:ptCount val="2"/>
                <c:pt idx="0">
                  <c:v>1151.9999694824219</c:v>
                </c:pt>
                <c:pt idx="1">
                  <c:v>1151.9999694824219</c:v>
                </c:pt>
              </c:numCache>
            </c:numRef>
          </c:xVal>
          <c:yVal>
            <c:numRef>
              <c:f>'10K110'!$AQ$1:$AQ$2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FDC-449A-BD3A-F6C2D4DB6725}"/>
            </c:ext>
          </c:extLst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'10K110'!$AP$1:$AP$2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FDC-449A-BD3A-F6C2D4DB6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832640"/>
        <c:axId val="1353833216"/>
      </c:scatterChart>
      <c:valAx>
        <c:axId val="1353832640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2338766121976684"/>
              <c:y val="0.89095856369017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833216"/>
        <c:crossesAt val="-20"/>
        <c:crossBetween val="midCat"/>
      </c:valAx>
      <c:valAx>
        <c:axId val="1353833216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 Lower FJA (deg)</a:t>
                </a:r>
              </a:p>
            </c:rich>
          </c:tx>
          <c:layout>
            <c:manualLayout>
              <c:xMode val="edge"/>
              <c:yMode val="edge"/>
              <c:x val="6.7204301075268818E-3"/>
              <c:y val="0.260638577092757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3832640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5889875288179618"/>
          <c:y val="0.1090460639254542"/>
          <c:w val="0.1250040438466464"/>
          <c:h val="0.781940068148378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Max Lower Flex Joint Angle</a:t>
            </a:r>
          </a:p>
        </c:rich>
      </c:tx>
      <c:layout>
        <c:manualLayout>
          <c:xMode val="edge"/>
          <c:yMode val="edge"/>
          <c:x val="0.35570497983054128"/>
          <c:y val="1.5957446808510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563813813321759E-2"/>
          <c:y val="0.10106396103095006"/>
          <c:w val="0.76107432431989586"/>
          <c:h val="0.718086038904118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'10K110'!$A$9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'10K110'!$H$9:$H$17</c:f>
              <c:numCache>
                <c:formatCode>0.0</c:formatCode>
                <c:ptCount val="9"/>
                <c:pt idx="0">
                  <c:v>-6.71</c:v>
                </c:pt>
                <c:pt idx="1">
                  <c:v>-6.26</c:v>
                </c:pt>
                <c:pt idx="2">
                  <c:v>-5.98</c:v>
                </c:pt>
                <c:pt idx="3">
                  <c:v>-5.79</c:v>
                </c:pt>
                <c:pt idx="4">
                  <c:v>-5.66</c:v>
                </c:pt>
                <c:pt idx="5">
                  <c:v>-5.55</c:v>
                </c:pt>
                <c:pt idx="6">
                  <c:v>-5.47</c:v>
                </c:pt>
                <c:pt idx="7">
                  <c:v>-5.4</c:v>
                </c:pt>
                <c:pt idx="8">
                  <c:v>-5.34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6D3-49B5-9E91-52F6A724DD7A}"/>
            </c:ext>
          </c:extLst>
        </c:ser>
        <c:ser>
          <c:idx val="1"/>
          <c:order val="1"/>
          <c:tx>
            <c:strRef>
              <c:f>'10K110'!$A$18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'10K110'!$H$18:$H$26</c:f>
              <c:numCache>
                <c:formatCode>0.0</c:formatCode>
                <c:ptCount val="9"/>
                <c:pt idx="0">
                  <c:v>-5.56</c:v>
                </c:pt>
                <c:pt idx="1">
                  <c:v>-5.12</c:v>
                </c:pt>
                <c:pt idx="2">
                  <c:v>-4.8600000000000003</c:v>
                </c:pt>
                <c:pt idx="3">
                  <c:v>-4.68</c:v>
                </c:pt>
                <c:pt idx="4">
                  <c:v>-4.55</c:v>
                </c:pt>
                <c:pt idx="5">
                  <c:v>-4.45</c:v>
                </c:pt>
                <c:pt idx="6">
                  <c:v>-4.38</c:v>
                </c:pt>
                <c:pt idx="7">
                  <c:v>-4.3099999999999996</c:v>
                </c:pt>
                <c:pt idx="8">
                  <c:v>-4.26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6D3-49B5-9E91-52F6A724DD7A}"/>
            </c:ext>
          </c:extLst>
        </c:ser>
        <c:ser>
          <c:idx val="2"/>
          <c:order val="2"/>
          <c:tx>
            <c:strRef>
              <c:f>'10K110'!$A$27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'10K110'!$H$27:$H$35</c:f>
              <c:numCache>
                <c:formatCode>0.00</c:formatCode>
                <c:ptCount val="9"/>
                <c:pt idx="0">
                  <c:v>-4.41</c:v>
                </c:pt>
                <c:pt idx="1">
                  <c:v>-3.99</c:v>
                </c:pt>
                <c:pt idx="2">
                  <c:v>-3.73</c:v>
                </c:pt>
                <c:pt idx="3">
                  <c:v>-3.56</c:v>
                </c:pt>
                <c:pt idx="4">
                  <c:v>-3.44</c:v>
                </c:pt>
                <c:pt idx="5">
                  <c:v>-3.35</c:v>
                </c:pt>
                <c:pt idx="6">
                  <c:v>-3.28</c:v>
                </c:pt>
                <c:pt idx="7">
                  <c:v>-3.22</c:v>
                </c:pt>
                <c:pt idx="8">
                  <c:v>-3.18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6D3-49B5-9E91-52F6A724DD7A}"/>
            </c:ext>
          </c:extLst>
        </c:ser>
        <c:ser>
          <c:idx val="3"/>
          <c:order val="3"/>
          <c:tx>
            <c:strRef>
              <c:f>'10K110'!$A$36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'10K110'!$H$36:$H$44</c:f>
              <c:numCache>
                <c:formatCode>0.00</c:formatCode>
                <c:ptCount val="9"/>
                <c:pt idx="0">
                  <c:v>-3.25</c:v>
                </c:pt>
                <c:pt idx="1">
                  <c:v>-2.85</c:v>
                </c:pt>
                <c:pt idx="2">
                  <c:v>-2.61</c:v>
                </c:pt>
                <c:pt idx="3">
                  <c:v>-2.4500000000000002</c:v>
                </c:pt>
                <c:pt idx="4">
                  <c:v>-2.34</c:v>
                </c:pt>
                <c:pt idx="5">
                  <c:v>-2.25</c:v>
                </c:pt>
                <c:pt idx="6">
                  <c:v>-2.19</c:v>
                </c:pt>
                <c:pt idx="7">
                  <c:v>-2.14</c:v>
                </c:pt>
                <c:pt idx="8">
                  <c:v>-2.09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6D3-49B5-9E91-52F6A724DD7A}"/>
            </c:ext>
          </c:extLst>
        </c:ser>
        <c:ser>
          <c:idx val="4"/>
          <c:order val="4"/>
          <c:tx>
            <c:strRef>
              <c:f>'10K110'!$A$45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'10K110'!$H$45:$H$53</c:f>
              <c:numCache>
                <c:formatCode>0.00</c:formatCode>
                <c:ptCount val="9"/>
                <c:pt idx="0">
                  <c:v>-2.1</c:v>
                </c:pt>
                <c:pt idx="1">
                  <c:v>-1.72</c:v>
                </c:pt>
                <c:pt idx="2">
                  <c:v>-1.49</c:v>
                </c:pt>
                <c:pt idx="3">
                  <c:v>-1.33</c:v>
                </c:pt>
                <c:pt idx="4">
                  <c:v>-1.23</c:v>
                </c:pt>
                <c:pt idx="5">
                  <c:v>-1.1499999999999999</c:v>
                </c:pt>
                <c:pt idx="6">
                  <c:v>-1.0900000000000001</c:v>
                </c:pt>
                <c:pt idx="7" formatCode="General">
                  <c:v>-1.05</c:v>
                </c:pt>
                <c:pt idx="8" formatCode="General">
                  <c:v>-1.01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6D3-49B5-9E91-52F6A724DD7A}"/>
            </c:ext>
          </c:extLst>
        </c:ser>
        <c:ser>
          <c:idx val="5"/>
          <c:order val="5"/>
          <c:tx>
            <c:strRef>
              <c:f>'10K110'!$A$60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'10K110'!$H$60:$H$68</c:f>
              <c:numCache>
                <c:formatCode>0.00</c:formatCode>
                <c:ptCount val="9"/>
                <c:pt idx="0">
                  <c:v>-0.95</c:v>
                </c:pt>
                <c:pt idx="1">
                  <c:v>-0.57999999999999996</c:v>
                </c:pt>
                <c:pt idx="2">
                  <c:v>-0.36</c:v>
                </c:pt>
                <c:pt idx="3">
                  <c:v>0.45</c:v>
                </c:pt>
                <c:pt idx="4">
                  <c:v>0.61</c:v>
                </c:pt>
                <c:pt idx="5">
                  <c:v>0.73</c:v>
                </c:pt>
                <c:pt idx="6">
                  <c:v>0.83</c:v>
                </c:pt>
                <c:pt idx="7" formatCode="General">
                  <c:v>0.91</c:v>
                </c:pt>
                <c:pt idx="8" formatCode="General">
                  <c:v>0.98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6D3-49B5-9E91-52F6A724DD7A}"/>
            </c:ext>
          </c:extLst>
        </c:ser>
        <c:ser>
          <c:idx val="6"/>
          <c:order val="6"/>
          <c:tx>
            <c:strRef>
              <c:f>'10K110'!$A$69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'10K110'!$H$69:$H$77</c:f>
              <c:numCache>
                <c:formatCode>0.00</c:formatCode>
                <c:ptCount val="9"/>
                <c:pt idx="0">
                  <c:v>0.63</c:v>
                </c:pt>
                <c:pt idx="1">
                  <c:v>1.08</c:v>
                </c:pt>
                <c:pt idx="2">
                  <c:v>1.36</c:v>
                </c:pt>
                <c:pt idx="3">
                  <c:v>1.57</c:v>
                </c:pt>
                <c:pt idx="4">
                  <c:v>1.72</c:v>
                </c:pt>
                <c:pt idx="5">
                  <c:v>1.83</c:v>
                </c:pt>
                <c:pt idx="6">
                  <c:v>1.93</c:v>
                </c:pt>
                <c:pt idx="7" formatCode="General">
                  <c:v>2</c:v>
                </c:pt>
                <c:pt idx="8" formatCode="General">
                  <c:v>2.06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E6D3-49B5-9E91-52F6A724DD7A}"/>
            </c:ext>
          </c:extLst>
        </c:ser>
        <c:ser>
          <c:idx val="7"/>
          <c:order val="7"/>
          <c:tx>
            <c:strRef>
              <c:f>'10K110'!$A$78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'10K110'!$H$78:$H$86</c:f>
              <c:numCache>
                <c:formatCode>0.00</c:formatCode>
                <c:ptCount val="9"/>
                <c:pt idx="0">
                  <c:v>1.78</c:v>
                </c:pt>
                <c:pt idx="1">
                  <c:v>2.21</c:v>
                </c:pt>
                <c:pt idx="2">
                  <c:v>2.4900000000000002</c:v>
                </c:pt>
                <c:pt idx="3">
                  <c:v>2.68</c:v>
                </c:pt>
                <c:pt idx="4">
                  <c:v>2.82</c:v>
                </c:pt>
                <c:pt idx="5">
                  <c:v>2.93</c:v>
                </c:pt>
                <c:pt idx="6">
                  <c:v>3.02</c:v>
                </c:pt>
                <c:pt idx="7" formatCode="General">
                  <c:v>3.09</c:v>
                </c:pt>
                <c:pt idx="8" formatCode="General">
                  <c:v>3.15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E6D3-49B5-9E91-52F6A724DD7A}"/>
            </c:ext>
          </c:extLst>
        </c:ser>
        <c:ser>
          <c:idx val="8"/>
          <c:order val="8"/>
          <c:tx>
            <c:strRef>
              <c:f>'10K110'!$A$87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'10K110'!$H$87:$H$95</c:f>
              <c:numCache>
                <c:formatCode>0.00</c:formatCode>
                <c:ptCount val="9"/>
                <c:pt idx="0">
                  <c:v>2.94</c:v>
                </c:pt>
                <c:pt idx="1">
                  <c:v>3.35</c:v>
                </c:pt>
                <c:pt idx="2">
                  <c:v>3.61</c:v>
                </c:pt>
                <c:pt idx="3">
                  <c:v>3.8</c:v>
                </c:pt>
                <c:pt idx="4">
                  <c:v>3.93</c:v>
                </c:pt>
                <c:pt idx="5">
                  <c:v>4.03</c:v>
                </c:pt>
                <c:pt idx="6">
                  <c:v>4.12</c:v>
                </c:pt>
                <c:pt idx="7" formatCode="General">
                  <c:v>4.18</c:v>
                </c:pt>
                <c:pt idx="8" formatCode="General">
                  <c:v>4.2300000000000004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6D3-49B5-9E91-52F6A724DD7A}"/>
            </c:ext>
          </c:extLst>
        </c:ser>
        <c:ser>
          <c:idx val="9"/>
          <c:order val="9"/>
          <c:tx>
            <c:strRef>
              <c:f>'10K110'!$A$96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'10K110'!$H$96:$H$104</c:f>
              <c:numCache>
                <c:formatCode>0.00</c:formatCode>
                <c:ptCount val="9"/>
                <c:pt idx="0">
                  <c:v>4.09</c:v>
                </c:pt>
                <c:pt idx="1">
                  <c:v>4.4800000000000004</c:v>
                </c:pt>
                <c:pt idx="2">
                  <c:v>4.74</c:v>
                </c:pt>
                <c:pt idx="3">
                  <c:v>4.91</c:v>
                </c:pt>
                <c:pt idx="4">
                  <c:v>5.04</c:v>
                </c:pt>
                <c:pt idx="5">
                  <c:v>5.14</c:v>
                </c:pt>
                <c:pt idx="6">
                  <c:v>5.21</c:v>
                </c:pt>
                <c:pt idx="7" formatCode="General">
                  <c:v>5.27</c:v>
                </c:pt>
                <c:pt idx="8" formatCode="General">
                  <c:v>5.31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E6D3-49B5-9E91-52F6A724DD7A}"/>
            </c:ext>
          </c:extLst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'10K110'!$AN$1:$AN$2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E6D3-49B5-9E91-52F6A724DD7A}"/>
            </c:ext>
          </c:extLst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'10K110'!$AS$6:$AS$7</c:f>
              <c:numCache>
                <c:formatCode>0.00</c:formatCode>
                <c:ptCount val="2"/>
                <c:pt idx="0">
                  <c:v>1151.9999694824219</c:v>
                </c:pt>
                <c:pt idx="1">
                  <c:v>1151.9999694824219</c:v>
                </c:pt>
              </c:numCache>
            </c:numRef>
          </c:xVal>
          <c:yVal>
            <c:numRef>
              <c:f>'10K110'!$AQ$1:$AQ$2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E6D3-49B5-9E91-52F6A724DD7A}"/>
            </c:ext>
          </c:extLst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'10K110'!$AT$1:$AT$2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E6D3-49B5-9E91-52F6A724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977728"/>
        <c:axId val="384978304"/>
      </c:scatterChart>
      <c:valAx>
        <c:axId val="384977728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241613556694675"/>
              <c:y val="0.888298989222091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78304"/>
        <c:crossesAt val="-20"/>
        <c:crossBetween val="midCat"/>
      </c:valAx>
      <c:valAx>
        <c:axId val="384978304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 Lower FJA (deg)</a:t>
                </a:r>
              </a:p>
            </c:rich>
          </c:tx>
          <c:layout>
            <c:manualLayout>
              <c:xMode val="edge"/>
              <c:yMode val="edge"/>
              <c:x val="6.7114093959731542E-3"/>
              <c:y val="0.257979002624671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77728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6177226583878341"/>
          <c:y val="9.0428443255254704E-2"/>
          <c:w val="0.12215152054724189"/>
          <c:h val="0.819175309488777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Upper Flex Joint Angle</a:t>
            </a:r>
          </a:p>
        </c:rich>
      </c:tx>
      <c:layout>
        <c:manualLayout>
          <c:xMode val="edge"/>
          <c:yMode val="edge"/>
          <c:x val="0.35436269795134667"/>
          <c:y val="1.8617021276595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536965536496918E-2"/>
          <c:y val="0.11436185064028559"/>
          <c:w val="0.75436291052518778"/>
          <c:h val="0.747341396044656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'10K110'!$A$9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'10K110'!$I$9:$I$17</c:f>
              <c:numCache>
                <c:formatCode>0.00</c:formatCode>
                <c:ptCount val="9"/>
                <c:pt idx="0">
                  <c:v>-0.49</c:v>
                </c:pt>
                <c:pt idx="1">
                  <c:v>-1.19</c:v>
                </c:pt>
                <c:pt idx="2">
                  <c:v>-1.68</c:v>
                </c:pt>
                <c:pt idx="3">
                  <c:v>-2.0299999999999998</c:v>
                </c:pt>
                <c:pt idx="4">
                  <c:v>-2.2999999999999998</c:v>
                </c:pt>
                <c:pt idx="5">
                  <c:v>-2.5099999999999998</c:v>
                </c:pt>
                <c:pt idx="6">
                  <c:v>-2.68</c:v>
                </c:pt>
                <c:pt idx="7">
                  <c:v>-2.83</c:v>
                </c:pt>
                <c:pt idx="8">
                  <c:v>-2.95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6-4EE7-9BA7-C33F767D3823}"/>
            </c:ext>
          </c:extLst>
        </c:ser>
        <c:ser>
          <c:idx val="1"/>
          <c:order val="1"/>
          <c:tx>
            <c:strRef>
              <c:f>'10K110'!$A$18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'10K110'!$I$18:$I$26</c:f>
              <c:numCache>
                <c:formatCode>0.00</c:formatCode>
                <c:ptCount val="9"/>
                <c:pt idx="0">
                  <c:v>0.34</c:v>
                </c:pt>
                <c:pt idx="1">
                  <c:v>-0.32</c:v>
                </c:pt>
                <c:pt idx="2">
                  <c:v>-0.77</c:v>
                </c:pt>
                <c:pt idx="3">
                  <c:v>-1.1000000000000001</c:v>
                </c:pt>
                <c:pt idx="4">
                  <c:v>-1.35</c:v>
                </c:pt>
                <c:pt idx="5">
                  <c:v>-1.55</c:v>
                </c:pt>
                <c:pt idx="6">
                  <c:v>-1.71</c:v>
                </c:pt>
                <c:pt idx="7">
                  <c:v>-1.84</c:v>
                </c:pt>
                <c:pt idx="8" formatCode="General">
                  <c:v>-1.96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F16-4EE7-9BA7-C33F767D3823}"/>
            </c:ext>
          </c:extLst>
        </c:ser>
        <c:ser>
          <c:idx val="2"/>
          <c:order val="2"/>
          <c:tx>
            <c:strRef>
              <c:f>'10K110'!$A$27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'10K110'!$I$27:$I$35</c:f>
              <c:numCache>
                <c:formatCode>0.00</c:formatCode>
                <c:ptCount val="9"/>
                <c:pt idx="0">
                  <c:v>1.1599999999999999</c:v>
                </c:pt>
                <c:pt idx="1">
                  <c:v>0.55000000000000004</c:v>
                </c:pt>
                <c:pt idx="2">
                  <c:v>0.13</c:v>
                </c:pt>
                <c:pt idx="3">
                  <c:v>-0.18</c:v>
                </c:pt>
                <c:pt idx="4">
                  <c:v>-0.41</c:v>
                </c:pt>
                <c:pt idx="5">
                  <c:v>-0.59</c:v>
                </c:pt>
                <c:pt idx="6">
                  <c:v>-0.74</c:v>
                </c:pt>
                <c:pt idx="7">
                  <c:v>-0.86</c:v>
                </c:pt>
                <c:pt idx="8">
                  <c:v>-0.97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F16-4EE7-9BA7-C33F767D3823}"/>
            </c:ext>
          </c:extLst>
        </c:ser>
        <c:ser>
          <c:idx val="3"/>
          <c:order val="3"/>
          <c:tx>
            <c:strRef>
              <c:f>'10K110'!$A$36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'10K110'!$I$36:$I$44</c:f>
              <c:numCache>
                <c:formatCode>0.00</c:formatCode>
                <c:ptCount val="9"/>
                <c:pt idx="0">
                  <c:v>1.99</c:v>
                </c:pt>
                <c:pt idx="1">
                  <c:v>1.42</c:v>
                </c:pt>
                <c:pt idx="2">
                  <c:v>1.03</c:v>
                </c:pt>
                <c:pt idx="3">
                  <c:v>0.75</c:v>
                </c:pt>
                <c:pt idx="4">
                  <c:v>0.54</c:v>
                </c:pt>
                <c:pt idx="5">
                  <c:v>0.37</c:v>
                </c:pt>
                <c:pt idx="6">
                  <c:v>0.23</c:v>
                </c:pt>
                <c:pt idx="7">
                  <c:v>0.12</c:v>
                </c:pt>
                <c:pt idx="8">
                  <c:v>0.02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F16-4EE7-9BA7-C33F767D3823}"/>
            </c:ext>
          </c:extLst>
        </c:ser>
        <c:ser>
          <c:idx val="4"/>
          <c:order val="4"/>
          <c:tx>
            <c:strRef>
              <c:f>'10K110'!$A$45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'10K110'!$I$45:$I$53</c:f>
              <c:numCache>
                <c:formatCode>0.00</c:formatCode>
                <c:ptCount val="9"/>
                <c:pt idx="0">
                  <c:v>2.81</c:v>
                </c:pt>
                <c:pt idx="1">
                  <c:v>2.29</c:v>
                </c:pt>
                <c:pt idx="2">
                  <c:v>1.93</c:v>
                </c:pt>
                <c:pt idx="3">
                  <c:v>1.68</c:v>
                </c:pt>
                <c:pt idx="4">
                  <c:v>1.48</c:v>
                </c:pt>
                <c:pt idx="5">
                  <c:v>1.33</c:v>
                </c:pt>
                <c:pt idx="6">
                  <c:v>1.2</c:v>
                </c:pt>
                <c:pt idx="7" formatCode="General">
                  <c:v>1.1000000000000001</c:v>
                </c:pt>
                <c:pt idx="8" formatCode="General">
                  <c:v>1.01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F16-4EE7-9BA7-C33F767D3823}"/>
            </c:ext>
          </c:extLst>
        </c:ser>
        <c:ser>
          <c:idx val="5"/>
          <c:order val="5"/>
          <c:tx>
            <c:strRef>
              <c:f>'10K110'!$A$60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'10K110'!$I$60:$I$68</c:f>
              <c:numCache>
                <c:formatCode>0.00</c:formatCode>
                <c:ptCount val="9"/>
                <c:pt idx="0">
                  <c:v>3.64</c:v>
                </c:pt>
                <c:pt idx="1">
                  <c:v>3.16</c:v>
                </c:pt>
                <c:pt idx="2">
                  <c:v>2.84</c:v>
                </c:pt>
                <c:pt idx="3">
                  <c:v>2.6</c:v>
                </c:pt>
                <c:pt idx="4">
                  <c:v>2.42</c:v>
                </c:pt>
                <c:pt idx="5">
                  <c:v>2.29</c:v>
                </c:pt>
                <c:pt idx="6">
                  <c:v>2.17</c:v>
                </c:pt>
                <c:pt idx="7" formatCode="General">
                  <c:v>2.08</c:v>
                </c:pt>
                <c:pt idx="8" formatCode="General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F16-4EE7-9BA7-C33F767D3823}"/>
            </c:ext>
          </c:extLst>
        </c:ser>
        <c:ser>
          <c:idx val="6"/>
          <c:order val="6"/>
          <c:tx>
            <c:strRef>
              <c:f>'10K110'!$A$69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'10K110'!$I$69:$I$77</c:f>
              <c:numCache>
                <c:formatCode>0.00</c:formatCode>
                <c:ptCount val="9"/>
                <c:pt idx="0">
                  <c:v>4.47</c:v>
                </c:pt>
                <c:pt idx="1">
                  <c:v>4.03</c:v>
                </c:pt>
                <c:pt idx="2">
                  <c:v>3.74</c:v>
                </c:pt>
                <c:pt idx="3">
                  <c:v>3.53</c:v>
                </c:pt>
                <c:pt idx="4">
                  <c:v>3.37</c:v>
                </c:pt>
                <c:pt idx="5">
                  <c:v>3.24</c:v>
                </c:pt>
                <c:pt idx="6">
                  <c:v>3.14</c:v>
                </c:pt>
                <c:pt idx="7" formatCode="General">
                  <c:v>3.06</c:v>
                </c:pt>
                <c:pt idx="8" formatCode="General">
                  <c:v>2.99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0F16-4EE7-9BA7-C33F767D3823}"/>
            </c:ext>
          </c:extLst>
        </c:ser>
        <c:ser>
          <c:idx val="7"/>
          <c:order val="7"/>
          <c:tx>
            <c:strRef>
              <c:f>'10K110'!$A$78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'10K110'!$I$78:$I$86</c:f>
              <c:numCache>
                <c:formatCode>0.00</c:formatCode>
                <c:ptCount val="9"/>
                <c:pt idx="0">
                  <c:v>5.29</c:v>
                </c:pt>
                <c:pt idx="1">
                  <c:v>4.9000000000000004</c:v>
                </c:pt>
                <c:pt idx="2">
                  <c:v>4.6399999999999997</c:v>
                </c:pt>
                <c:pt idx="3">
                  <c:v>4.45</c:v>
                </c:pt>
                <c:pt idx="4">
                  <c:v>4.3099999999999996</c:v>
                </c:pt>
                <c:pt idx="5">
                  <c:v>4.2</c:v>
                </c:pt>
                <c:pt idx="6">
                  <c:v>4.12</c:v>
                </c:pt>
                <c:pt idx="7" formatCode="General">
                  <c:v>4.04</c:v>
                </c:pt>
                <c:pt idx="8" formatCode="General">
                  <c:v>3.98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F16-4EE7-9BA7-C33F767D3823}"/>
            </c:ext>
          </c:extLst>
        </c:ser>
        <c:ser>
          <c:idx val="8"/>
          <c:order val="8"/>
          <c:tx>
            <c:strRef>
              <c:f>'10K110'!$A$87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'10K110'!$I$87:$I$95</c:f>
              <c:numCache>
                <c:formatCode>0.00</c:formatCode>
                <c:ptCount val="9"/>
                <c:pt idx="0">
                  <c:v>6.12</c:v>
                </c:pt>
                <c:pt idx="1">
                  <c:v>5.77</c:v>
                </c:pt>
                <c:pt idx="2">
                  <c:v>5.54</c:v>
                </c:pt>
                <c:pt idx="3">
                  <c:v>5.38</c:v>
                </c:pt>
                <c:pt idx="4">
                  <c:v>5.26</c:v>
                </c:pt>
                <c:pt idx="5">
                  <c:v>5.16</c:v>
                </c:pt>
                <c:pt idx="6">
                  <c:v>5.09</c:v>
                </c:pt>
                <c:pt idx="7" formatCode="General">
                  <c:v>5.03</c:v>
                </c:pt>
                <c:pt idx="8" formatCode="General">
                  <c:v>4.97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0F16-4EE7-9BA7-C33F767D3823}"/>
            </c:ext>
          </c:extLst>
        </c:ser>
        <c:ser>
          <c:idx val="9"/>
          <c:order val="9"/>
          <c:tx>
            <c:strRef>
              <c:f>'10K110'!$A$96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'10K110'!$I$96:$I$104</c:f>
              <c:numCache>
                <c:formatCode>0.00</c:formatCode>
                <c:ptCount val="9"/>
                <c:pt idx="0">
                  <c:v>6.94</c:v>
                </c:pt>
                <c:pt idx="1">
                  <c:v>6.64</c:v>
                </c:pt>
                <c:pt idx="2">
                  <c:v>6.44</c:v>
                </c:pt>
                <c:pt idx="3">
                  <c:v>6.3</c:v>
                </c:pt>
                <c:pt idx="4">
                  <c:v>6.2</c:v>
                </c:pt>
                <c:pt idx="5">
                  <c:v>6.12</c:v>
                </c:pt>
                <c:pt idx="6">
                  <c:v>6.06</c:v>
                </c:pt>
                <c:pt idx="7" formatCode="General">
                  <c:v>6.01</c:v>
                </c:pt>
                <c:pt idx="8" formatCode="General">
                  <c:v>5.96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F16-4EE7-9BA7-C33F767D3823}"/>
            </c:ext>
          </c:extLst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'10K110'!$AM$1:$AM$2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0F16-4EE7-9BA7-C33F767D3823}"/>
            </c:ext>
          </c:extLst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'10K110'!$AS$6:$AS$7</c:f>
              <c:numCache>
                <c:formatCode>0.00</c:formatCode>
                <c:ptCount val="2"/>
                <c:pt idx="0">
                  <c:v>1151.9999694824219</c:v>
                </c:pt>
                <c:pt idx="1">
                  <c:v>1151.9999694824219</c:v>
                </c:pt>
              </c:numCache>
            </c:numRef>
          </c:xVal>
          <c:yVal>
            <c:numRef>
              <c:f>'10K110'!$AQ$1:$AQ$2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0F16-4EE7-9BA7-C33F767D3823}"/>
            </c:ext>
          </c:extLst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'10K110'!$AP$1:$AP$2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0F16-4EE7-9BA7-C33F767D3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92352"/>
        <c:axId val="385892928"/>
      </c:scatterChart>
      <c:valAx>
        <c:axId val="385892352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1610766439429969"/>
              <c:y val="0.914894733902942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92928"/>
        <c:crossesAt val="-20"/>
        <c:crossBetween val="midCat"/>
      </c:valAx>
      <c:valAx>
        <c:axId val="385892928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 Upper FJA (deg)</a:t>
                </a:r>
              </a:p>
            </c:rich>
          </c:tx>
          <c:layout>
            <c:manualLayout>
              <c:xMode val="edge"/>
              <c:yMode val="edge"/>
              <c:x val="1.2080536912751677E-2"/>
              <c:y val="0.271276874965097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92352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6445691464201957"/>
          <c:y val="0.11436538411693976"/>
          <c:w val="0.12215152054724189"/>
          <c:h val="0.811196329201549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Max Upper Flex Joint Angle</a:t>
            </a:r>
          </a:p>
        </c:rich>
      </c:tx>
      <c:layout>
        <c:manualLayout>
          <c:xMode val="edge"/>
          <c:yMode val="edge"/>
          <c:x val="0.36375867110570909"/>
          <c:y val="1.5957446808510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221531054380155E-2"/>
          <c:y val="9.0425649343481629E-2"/>
          <c:w val="0.76241660707883752"/>
          <c:h val="0.779256331107062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'10K110'!$A$9</c:f>
              <c:strCache>
                <c:ptCount val="1"/>
                <c:pt idx="0">
                  <c:v>-8 %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'10K110'!$J$9:$J$17</c:f>
              <c:numCache>
                <c:formatCode>0.00</c:formatCode>
                <c:ptCount val="9"/>
                <c:pt idx="0">
                  <c:v>-5.61</c:v>
                </c:pt>
                <c:pt idx="1">
                  <c:v>-6.42</c:v>
                </c:pt>
                <c:pt idx="2">
                  <c:v>-6.99</c:v>
                </c:pt>
                <c:pt idx="3">
                  <c:v>-7.41</c:v>
                </c:pt>
                <c:pt idx="4">
                  <c:v>-7.72</c:v>
                </c:pt>
                <c:pt idx="5">
                  <c:v>-7.97</c:v>
                </c:pt>
                <c:pt idx="6">
                  <c:v>-8.16</c:v>
                </c:pt>
                <c:pt idx="7">
                  <c:v>-8.3000000000000007</c:v>
                </c:pt>
                <c:pt idx="8">
                  <c:v>-8.42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61-4EDE-B031-BC32D8A8A0AF}"/>
            </c:ext>
          </c:extLst>
        </c:ser>
        <c:ser>
          <c:idx val="1"/>
          <c:order val="1"/>
          <c:tx>
            <c:strRef>
              <c:f>'10K110'!$A$18</c:f>
              <c:strCache>
                <c:ptCount val="1"/>
                <c:pt idx="0">
                  <c:v>-6 %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'10K110'!$J$18:$J$26</c:f>
              <c:numCache>
                <c:formatCode>0.00</c:formatCode>
                <c:ptCount val="9"/>
                <c:pt idx="0">
                  <c:v>5.45</c:v>
                </c:pt>
                <c:pt idx="1">
                  <c:v>-5.55</c:v>
                </c:pt>
                <c:pt idx="2">
                  <c:v>-6.09</c:v>
                </c:pt>
                <c:pt idx="3">
                  <c:v>-6.48</c:v>
                </c:pt>
                <c:pt idx="4">
                  <c:v>-6.78</c:v>
                </c:pt>
                <c:pt idx="5">
                  <c:v>-7.01</c:v>
                </c:pt>
                <c:pt idx="6">
                  <c:v>-7.18</c:v>
                </c:pt>
                <c:pt idx="7">
                  <c:v>-7.32</c:v>
                </c:pt>
                <c:pt idx="8" formatCode="General">
                  <c:v>-7.43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61-4EDE-B031-BC32D8A8A0AF}"/>
            </c:ext>
          </c:extLst>
        </c:ser>
        <c:ser>
          <c:idx val="2"/>
          <c:order val="2"/>
          <c:tx>
            <c:strRef>
              <c:f>'10K110'!$A$27</c:f>
              <c:strCache>
                <c:ptCount val="1"/>
                <c:pt idx="0">
                  <c:v>-4 %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'10K110'!$B$27:$B$35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'10K110'!$J$27:$J$35</c:f>
              <c:numCache>
                <c:formatCode>0.00</c:formatCode>
                <c:ptCount val="9"/>
                <c:pt idx="0">
                  <c:v>6.28</c:v>
                </c:pt>
                <c:pt idx="1">
                  <c:v>5.77</c:v>
                </c:pt>
                <c:pt idx="2">
                  <c:v>5.44</c:v>
                </c:pt>
                <c:pt idx="3">
                  <c:v>-5.55</c:v>
                </c:pt>
                <c:pt idx="4">
                  <c:v>-5.83</c:v>
                </c:pt>
                <c:pt idx="5">
                  <c:v>-6.05</c:v>
                </c:pt>
                <c:pt idx="6">
                  <c:v>-6.21</c:v>
                </c:pt>
                <c:pt idx="7">
                  <c:v>-6.34</c:v>
                </c:pt>
                <c:pt idx="8">
                  <c:v>-6.44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61-4EDE-B031-BC32D8A8A0AF}"/>
            </c:ext>
          </c:extLst>
        </c:ser>
        <c:ser>
          <c:idx val="3"/>
          <c:order val="3"/>
          <c:tx>
            <c:strRef>
              <c:f>'10K110'!$A$36</c:f>
              <c:strCache>
                <c:ptCount val="1"/>
                <c:pt idx="0">
                  <c:v>-2 %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'10K110'!$B$36:$B$44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'10K110'!$J$36:$J$44</c:f>
              <c:numCache>
                <c:formatCode>0.00</c:formatCode>
                <c:ptCount val="9"/>
                <c:pt idx="0">
                  <c:v>7.1</c:v>
                </c:pt>
                <c:pt idx="1">
                  <c:v>6.64</c:v>
                </c:pt>
                <c:pt idx="2">
                  <c:v>6.34</c:v>
                </c:pt>
                <c:pt idx="3">
                  <c:v>6.13</c:v>
                </c:pt>
                <c:pt idx="4">
                  <c:v>5.96</c:v>
                </c:pt>
                <c:pt idx="5">
                  <c:v>5.82</c:v>
                </c:pt>
                <c:pt idx="6">
                  <c:v>5.7</c:v>
                </c:pt>
                <c:pt idx="7">
                  <c:v>5.6</c:v>
                </c:pt>
                <c:pt idx="8">
                  <c:v>5.5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B61-4EDE-B031-BC32D8A8A0AF}"/>
            </c:ext>
          </c:extLst>
        </c:ser>
        <c:ser>
          <c:idx val="4"/>
          <c:order val="4"/>
          <c:tx>
            <c:strRef>
              <c:f>'10K110'!$A$45</c:f>
              <c:strCache>
                <c:ptCount val="1"/>
                <c:pt idx="0">
                  <c:v>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'10K110'!$B$45:$B$53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'10K110'!$J$45:$J$53</c:f>
              <c:numCache>
                <c:formatCode>0.00</c:formatCode>
                <c:ptCount val="9"/>
                <c:pt idx="0">
                  <c:v>7.93</c:v>
                </c:pt>
                <c:pt idx="1">
                  <c:v>7.51</c:v>
                </c:pt>
                <c:pt idx="2">
                  <c:v>7.24</c:v>
                </c:pt>
                <c:pt idx="3">
                  <c:v>7.05</c:v>
                </c:pt>
                <c:pt idx="4">
                  <c:v>6.91</c:v>
                </c:pt>
                <c:pt idx="5">
                  <c:v>6.78</c:v>
                </c:pt>
                <c:pt idx="6">
                  <c:v>6.68</c:v>
                </c:pt>
                <c:pt idx="7" formatCode="General">
                  <c:v>6.58</c:v>
                </c:pt>
                <c:pt idx="8" formatCode="General">
                  <c:v>6.49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B61-4EDE-B031-BC32D8A8A0AF}"/>
            </c:ext>
          </c:extLst>
        </c:ser>
        <c:ser>
          <c:idx val="5"/>
          <c:order val="5"/>
          <c:tx>
            <c:strRef>
              <c:f>'10K110'!$A$60</c:f>
              <c:strCache>
                <c:ptCount val="1"/>
                <c:pt idx="0">
                  <c:v>2 %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'10K110'!$B$60:$B$68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'10K110'!$J$60:$J$68</c:f>
              <c:numCache>
                <c:formatCode>0.00</c:formatCode>
                <c:ptCount val="9"/>
                <c:pt idx="0">
                  <c:v>8.75</c:v>
                </c:pt>
                <c:pt idx="1">
                  <c:v>8.3800000000000008</c:v>
                </c:pt>
                <c:pt idx="2">
                  <c:v>8.15</c:v>
                </c:pt>
                <c:pt idx="3">
                  <c:v>7.98</c:v>
                </c:pt>
                <c:pt idx="4">
                  <c:v>7.85</c:v>
                </c:pt>
                <c:pt idx="5">
                  <c:v>7.74</c:v>
                </c:pt>
                <c:pt idx="6">
                  <c:v>7.65</c:v>
                </c:pt>
                <c:pt idx="7" formatCode="General">
                  <c:v>7.56</c:v>
                </c:pt>
                <c:pt idx="8" formatCode="General">
                  <c:v>7.48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B61-4EDE-B031-BC32D8A8A0AF}"/>
            </c:ext>
          </c:extLst>
        </c:ser>
        <c:ser>
          <c:idx val="6"/>
          <c:order val="6"/>
          <c:tx>
            <c:strRef>
              <c:f>'10K110'!$A$69</c:f>
              <c:strCache>
                <c:ptCount val="1"/>
                <c:pt idx="0">
                  <c:v>4 %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'10K110'!$B$69:$B$77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'10K110'!$J$69:$J$77</c:f>
              <c:numCache>
                <c:formatCode>0.00</c:formatCode>
                <c:ptCount val="9"/>
                <c:pt idx="0">
                  <c:v>9.58</c:v>
                </c:pt>
                <c:pt idx="1">
                  <c:v>9.26</c:v>
                </c:pt>
                <c:pt idx="2">
                  <c:v>9.0500000000000007</c:v>
                </c:pt>
                <c:pt idx="3">
                  <c:v>8.91</c:v>
                </c:pt>
                <c:pt idx="4">
                  <c:v>8.7899999999999991</c:v>
                </c:pt>
                <c:pt idx="5">
                  <c:v>8.6999999999999993</c:v>
                </c:pt>
                <c:pt idx="6">
                  <c:v>8.6199999999999992</c:v>
                </c:pt>
                <c:pt idx="7" formatCode="General">
                  <c:v>8.5399999999999991</c:v>
                </c:pt>
                <c:pt idx="8" formatCode="General">
                  <c:v>8.4700000000000006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0B61-4EDE-B031-BC32D8A8A0AF}"/>
            </c:ext>
          </c:extLst>
        </c:ser>
        <c:ser>
          <c:idx val="7"/>
          <c:order val="7"/>
          <c:tx>
            <c:strRef>
              <c:f>'10K110'!$A$78</c:f>
              <c:strCache>
                <c:ptCount val="1"/>
                <c:pt idx="0">
                  <c:v>6 %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'10K110'!$B$78:$B$86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'10K110'!$J$78:$J$86</c:f>
              <c:numCache>
                <c:formatCode>0.00</c:formatCode>
                <c:ptCount val="9"/>
                <c:pt idx="0">
                  <c:v>10.41</c:v>
                </c:pt>
                <c:pt idx="1">
                  <c:v>10.130000000000001</c:v>
                </c:pt>
                <c:pt idx="2">
                  <c:v>9.9499999999999993</c:v>
                </c:pt>
                <c:pt idx="3">
                  <c:v>9.83</c:v>
                </c:pt>
                <c:pt idx="4">
                  <c:v>9.74</c:v>
                </c:pt>
                <c:pt idx="5">
                  <c:v>9.66</c:v>
                </c:pt>
                <c:pt idx="6">
                  <c:v>9.59</c:v>
                </c:pt>
                <c:pt idx="7" formatCode="General">
                  <c:v>9.52</c:v>
                </c:pt>
                <c:pt idx="8" formatCode="General">
                  <c:v>9.4600000000000009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B61-4EDE-B031-BC32D8A8A0AF}"/>
            </c:ext>
          </c:extLst>
        </c:ser>
        <c:ser>
          <c:idx val="8"/>
          <c:order val="8"/>
          <c:tx>
            <c:strRef>
              <c:f>'10K110'!$A$87</c:f>
              <c:strCache>
                <c:ptCount val="1"/>
                <c:pt idx="0">
                  <c:v>8 %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'10K110'!$B$87:$B$95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'10K110'!$J$87:$J$95</c:f>
              <c:numCache>
                <c:formatCode>0.00</c:formatCode>
                <c:ptCount val="9"/>
                <c:pt idx="0">
                  <c:v>11.23</c:v>
                </c:pt>
                <c:pt idx="1">
                  <c:v>11</c:v>
                </c:pt>
                <c:pt idx="2">
                  <c:v>10.85</c:v>
                </c:pt>
                <c:pt idx="3">
                  <c:v>10.76</c:v>
                </c:pt>
                <c:pt idx="4">
                  <c:v>10.68</c:v>
                </c:pt>
                <c:pt idx="5">
                  <c:v>10.62</c:v>
                </c:pt>
                <c:pt idx="6">
                  <c:v>10.56</c:v>
                </c:pt>
                <c:pt idx="7" formatCode="General">
                  <c:v>10.5</c:v>
                </c:pt>
                <c:pt idx="8" formatCode="General">
                  <c:v>10.45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0B61-4EDE-B031-BC32D8A8A0AF}"/>
            </c:ext>
          </c:extLst>
        </c:ser>
        <c:ser>
          <c:idx val="9"/>
          <c:order val="9"/>
          <c:tx>
            <c:strRef>
              <c:f>'10K110'!$A$96</c:f>
              <c:strCache>
                <c:ptCount val="1"/>
                <c:pt idx="0">
                  <c:v>10 % WD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'10K110'!$B$96:$B$104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'10K110'!$J$96:$J$104</c:f>
              <c:numCache>
                <c:formatCode>0.00</c:formatCode>
                <c:ptCount val="9"/>
                <c:pt idx="0">
                  <c:v>12.06</c:v>
                </c:pt>
                <c:pt idx="1">
                  <c:v>11.87</c:v>
                </c:pt>
                <c:pt idx="2">
                  <c:v>11.76</c:v>
                </c:pt>
                <c:pt idx="3">
                  <c:v>11.68</c:v>
                </c:pt>
                <c:pt idx="4">
                  <c:v>11.63</c:v>
                </c:pt>
                <c:pt idx="5">
                  <c:v>11.58</c:v>
                </c:pt>
                <c:pt idx="6">
                  <c:v>11.53</c:v>
                </c:pt>
                <c:pt idx="7" formatCode="General">
                  <c:v>11.48</c:v>
                </c:pt>
                <c:pt idx="8" formatCode="General">
                  <c:v>11.44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B61-4EDE-B031-BC32D8A8A0AF}"/>
            </c:ext>
          </c:extLst>
        </c:ser>
        <c:ser>
          <c:idx val="10"/>
          <c:order val="10"/>
          <c:tx>
            <c:v>API Limit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'10K110'!$AN$1:$AN$2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0B61-4EDE-B031-BC32D8A8A0AF}"/>
            </c:ext>
          </c:extLst>
        </c:ser>
        <c:ser>
          <c:idx val="11"/>
          <c:order val="11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'10K110'!$AS$6:$AS$7</c:f>
              <c:numCache>
                <c:formatCode>0.00</c:formatCode>
                <c:ptCount val="2"/>
                <c:pt idx="0">
                  <c:v>1151.9999694824219</c:v>
                </c:pt>
                <c:pt idx="1">
                  <c:v>1151.9999694824219</c:v>
                </c:pt>
              </c:numCache>
            </c:numRef>
          </c:xVal>
          <c:yVal>
            <c:numRef>
              <c:f>'10K110'!$AQ$1:$AQ$2</c:f>
              <c:numCache>
                <c:formatCode>General</c:formatCode>
                <c:ptCount val="2"/>
                <c:pt idx="0">
                  <c:v>-10</c:v>
                </c:pt>
                <c:pt idx="1">
                  <c:v>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0B61-4EDE-B031-BC32D8A8A0AF}"/>
            </c:ext>
          </c:extLst>
        </c:ser>
        <c:ser>
          <c:idx val="12"/>
          <c:order val="12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'10K110'!$AL$1:$AL$2</c:f>
              <c:numCache>
                <c:formatCode>General</c:formatCode>
                <c:ptCount val="2"/>
                <c:pt idx="0">
                  <c:v>0</c:v>
                </c:pt>
                <c:pt idx="1">
                  <c:v>1380</c:v>
                </c:pt>
              </c:numCache>
            </c:numRef>
          </c:xVal>
          <c:yVal>
            <c:numRef>
              <c:f>'10K110'!$AT$1:$AT$2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0B61-4EDE-B031-BC32D8A8A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896960"/>
        <c:axId val="385897536"/>
      </c:scatterChart>
      <c:valAx>
        <c:axId val="385896960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2147679191107823"/>
              <c:y val="0.914894733902942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97536"/>
        <c:crossesAt val="-20"/>
        <c:crossBetween val="midCat"/>
      </c:valAx>
      <c:valAx>
        <c:axId val="385897536"/>
        <c:scaling>
          <c:orientation val="minMax"/>
          <c:max val="8"/>
          <c:min val="-8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 Upper FJA (deg)</a:t>
                </a:r>
              </a:p>
            </c:rich>
          </c:tx>
          <c:layout>
            <c:manualLayout>
              <c:xMode val="edge"/>
              <c:yMode val="edge"/>
              <c:x val="6.7114093959731542E-3"/>
              <c:y val="0.279255598369352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96960"/>
        <c:crossesAt val="0"/>
        <c:crossBetween val="midCat"/>
        <c:majorUnit val="2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86042994143716534"/>
          <c:y val="9.8407423542483052E-2"/>
          <c:w val="0.12483616935047798"/>
          <c:h val="0.829813949871748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Actual and Effective Tension at Lower Flex Joint</a:t>
            </a:r>
          </a:p>
        </c:rich>
      </c:tx>
      <c:layout>
        <c:manualLayout>
          <c:xMode val="edge"/>
          <c:yMode val="edge"/>
          <c:x val="0.26835781041388518"/>
          <c:y val="1.8617021276595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117489986648867E-2"/>
          <c:y val="7.4468181812278988E-2"/>
          <c:w val="0.76902536715620828"/>
          <c:h val="0.78723506487266359"/>
        </c:manualLayout>
      </c:layout>
      <c:scatterChart>
        <c:scatterStyle val="smoothMarker"/>
        <c:varyColors val="0"/>
        <c:ser>
          <c:idx val="0"/>
          <c:order val="0"/>
          <c:tx>
            <c:v>Actual Tension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'10K110'!$B$9:$B$17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'10K110'!$C$9:$C$17</c:f>
              <c:numCache>
                <c:formatCode>0</c:formatCode>
                <c:ptCount val="9"/>
                <c:pt idx="0">
                  <c:v>298.51299999999998</c:v>
                </c:pt>
                <c:pt idx="1">
                  <c:v>403.51299999999998</c:v>
                </c:pt>
                <c:pt idx="2">
                  <c:v>508.51299999999998</c:v>
                </c:pt>
                <c:pt idx="3">
                  <c:v>613.51300000000003</c:v>
                </c:pt>
                <c:pt idx="4">
                  <c:v>718.51300000000003</c:v>
                </c:pt>
                <c:pt idx="5">
                  <c:v>823.51300000000003</c:v>
                </c:pt>
                <c:pt idx="6">
                  <c:v>928.51300000000003</c:v>
                </c:pt>
                <c:pt idx="7">
                  <c:v>1033.5129999999999</c:v>
                </c:pt>
                <c:pt idx="8">
                  <c:v>1138.5129999999999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49-4EF6-9374-F13A6FA8528C}"/>
            </c:ext>
          </c:extLst>
        </c:ser>
        <c:ser>
          <c:idx val="1"/>
          <c:order val="1"/>
          <c:tx>
            <c:v>Effective Tension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'10K110'!$B$18:$B$26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xVal>
          <c:yVal>
            <c:numRef>
              <c:f>'10K110'!$D$18:$D$26</c:f>
              <c:numCache>
                <c:formatCode>0</c:formatCode>
                <c:ptCount val="9"/>
                <c:pt idx="0">
                  <c:v>308.5428</c:v>
                </c:pt>
                <c:pt idx="1">
                  <c:v>413.5428</c:v>
                </c:pt>
                <c:pt idx="2">
                  <c:v>518.54279999999994</c:v>
                </c:pt>
                <c:pt idx="3">
                  <c:v>623.54279999999994</c:v>
                </c:pt>
                <c:pt idx="4">
                  <c:v>728.54280000000006</c:v>
                </c:pt>
                <c:pt idx="5">
                  <c:v>833.54280000000006</c:v>
                </c:pt>
                <c:pt idx="6">
                  <c:v>938.54280000000006</c:v>
                </c:pt>
                <c:pt idx="7">
                  <c:v>1043.5429999999999</c:v>
                </c:pt>
                <c:pt idx="8">
                  <c:v>1148.5429999999999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49-4EF6-9374-F13A6FA85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007616"/>
        <c:axId val="386008192"/>
      </c:scatterChart>
      <c:valAx>
        <c:axId val="386007616"/>
        <c:scaling>
          <c:orientation val="minMax"/>
          <c:max val="14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 (kips)</a:t>
                </a:r>
              </a:p>
            </c:rich>
          </c:tx>
          <c:layout>
            <c:manualLayout>
              <c:xMode val="edge"/>
              <c:yMode val="edge"/>
              <c:x val="0.43257676902536718"/>
              <c:y val="0.914894733902942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008192"/>
        <c:crossesAt val="-20"/>
        <c:crossBetween val="midCat"/>
      </c:valAx>
      <c:valAx>
        <c:axId val="386008192"/>
        <c:scaling>
          <c:orientation val="minMax"/>
          <c:min val="0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Tension at Lower FJ (kips)</a:t>
                </a:r>
              </a:p>
            </c:rich>
          </c:tx>
          <c:layout>
            <c:manualLayout>
              <c:xMode val="edge"/>
              <c:yMode val="edge"/>
              <c:x val="6.6755674232309749E-3"/>
              <c:y val="0.2154258111353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007616"/>
        <c:crossesAt val="0"/>
        <c:crossBetween val="midCat"/>
        <c:minorUnit val="10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983968635162511"/>
          <c:y val="0.36703309321250438"/>
          <c:w val="0.12683970528478941"/>
          <c:h val="0.521293378765585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Telescopic Joint Stroke-out (No Vessel Heave, Extension Negative)</a:t>
            </a:r>
          </a:p>
        </c:rich>
      </c:tx>
      <c:layout>
        <c:manualLayout>
          <c:xMode val="edge"/>
          <c:yMode val="edge"/>
          <c:x val="0.17520229782597929"/>
          <c:y val="3.19148936170212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90304123083807"/>
          <c:y val="9.8404383109082949E-2"/>
          <c:w val="0.74797892887343176"/>
          <c:h val="0.7367030843571885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'10K110'!$P$111</c:f>
              <c:strCache>
                <c:ptCount val="1"/>
                <c:pt idx="0">
                  <c:v>440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'10K110'!$P$112:$P$121</c:f>
              <c:numCache>
                <c:formatCode>0.00</c:formatCode>
                <c:ptCount val="10"/>
                <c:pt idx="0">
                  <c:v>-14.600000190734864</c:v>
                </c:pt>
                <c:pt idx="1">
                  <c:v>-13.200000190734864</c:v>
                </c:pt>
                <c:pt idx="2">
                  <c:v>-12.260000190734864</c:v>
                </c:pt>
                <c:pt idx="3">
                  <c:v>-11.770000190734864</c:v>
                </c:pt>
                <c:pt idx="4">
                  <c:v>-11.730000190734863</c:v>
                </c:pt>
                <c:pt idx="5">
                  <c:v>-12.150000190734863</c:v>
                </c:pt>
                <c:pt idx="6">
                  <c:v>-13.010000190734864</c:v>
                </c:pt>
                <c:pt idx="7">
                  <c:v>-14.330000190734863</c:v>
                </c:pt>
                <c:pt idx="8">
                  <c:v>-16.090000190734862</c:v>
                </c:pt>
                <c:pt idx="9">
                  <c:v>-18.310000190734861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C9-4FC9-8FE7-7D8B20D46991}"/>
            </c:ext>
          </c:extLst>
        </c:ser>
        <c:ser>
          <c:idx val="1"/>
          <c:order val="1"/>
          <c:tx>
            <c:strRef>
              <c:f>'10K110'!$Q$111</c:f>
              <c:strCache>
                <c:ptCount val="1"/>
                <c:pt idx="0">
                  <c:v>545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'10K110'!$Q$112:$Q$121</c:f>
              <c:numCache>
                <c:formatCode>0.00</c:formatCode>
                <c:ptCount val="10"/>
                <c:pt idx="0">
                  <c:v>-14.130000190734863</c:v>
                </c:pt>
                <c:pt idx="1">
                  <c:v>-12.760000190734864</c:v>
                </c:pt>
                <c:pt idx="2">
                  <c:v>-11.830000190734863</c:v>
                </c:pt>
                <c:pt idx="3">
                  <c:v>-11.360000190734864</c:v>
                </c:pt>
                <c:pt idx="4">
                  <c:v>-11.330000190734863</c:v>
                </c:pt>
                <c:pt idx="5">
                  <c:v>-11.760000190734864</c:v>
                </c:pt>
                <c:pt idx="6">
                  <c:v>-12.630000190734863</c:v>
                </c:pt>
                <c:pt idx="7">
                  <c:v>-13.960000190734863</c:v>
                </c:pt>
                <c:pt idx="8">
                  <c:v>-15.730000190734863</c:v>
                </c:pt>
                <c:pt idx="9">
                  <c:v>-17.960000190734863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1C9-4FC9-8FE7-7D8B20D46991}"/>
            </c:ext>
          </c:extLst>
        </c:ser>
        <c:ser>
          <c:idx val="2"/>
          <c:order val="2"/>
          <c:tx>
            <c:strRef>
              <c:f>'10K110'!$R$111</c:f>
              <c:strCache>
                <c:ptCount val="1"/>
                <c:pt idx="0">
                  <c:v>650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'10K110'!$R$112:$R$121</c:f>
              <c:numCache>
                <c:formatCode>0.00</c:formatCode>
                <c:ptCount val="10"/>
                <c:pt idx="0">
                  <c:v>-13.830000190734863</c:v>
                </c:pt>
                <c:pt idx="1">
                  <c:v>-12.460000190734863</c:v>
                </c:pt>
                <c:pt idx="2">
                  <c:v>-11.540000190734863</c:v>
                </c:pt>
                <c:pt idx="3">
                  <c:v>-11.070000190734863</c:v>
                </c:pt>
                <c:pt idx="4">
                  <c:v>-11.050000190734863</c:v>
                </c:pt>
                <c:pt idx="5">
                  <c:v>-11.490000190734863</c:v>
                </c:pt>
                <c:pt idx="6">
                  <c:v>-12.370000190734864</c:v>
                </c:pt>
                <c:pt idx="7">
                  <c:v>-13.700000190734864</c:v>
                </c:pt>
                <c:pt idx="8">
                  <c:v>-15.480000190734863</c:v>
                </c:pt>
                <c:pt idx="9">
                  <c:v>-17.710000190734863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1C9-4FC9-8FE7-7D8B20D46991}"/>
            </c:ext>
          </c:extLst>
        </c:ser>
        <c:ser>
          <c:idx val="3"/>
          <c:order val="3"/>
          <c:tx>
            <c:strRef>
              <c:f>'10K110'!$S$111</c:f>
              <c:strCache>
                <c:ptCount val="1"/>
                <c:pt idx="0">
                  <c:v>755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'10K110'!$S$112:$S$121</c:f>
              <c:numCache>
                <c:formatCode>0.00</c:formatCode>
                <c:ptCount val="10"/>
                <c:pt idx="0">
                  <c:v>-13.590000190734862</c:v>
                </c:pt>
                <c:pt idx="1">
                  <c:v>-12.230000190734863</c:v>
                </c:pt>
                <c:pt idx="2">
                  <c:v>-11.310000190734863</c:v>
                </c:pt>
                <c:pt idx="3">
                  <c:v>-10.850000190734864</c:v>
                </c:pt>
                <c:pt idx="4">
                  <c:v>-10.840000190734862</c:v>
                </c:pt>
                <c:pt idx="5">
                  <c:v>-11.270000190734864</c:v>
                </c:pt>
                <c:pt idx="6">
                  <c:v>-12.150000190734863</c:v>
                </c:pt>
                <c:pt idx="7">
                  <c:v>-13.490000190734863</c:v>
                </c:pt>
                <c:pt idx="8">
                  <c:v>-15.270000190734864</c:v>
                </c:pt>
                <c:pt idx="9">
                  <c:v>-17.500000190734863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1C9-4FC9-8FE7-7D8B20D46991}"/>
            </c:ext>
          </c:extLst>
        </c:ser>
        <c:ser>
          <c:idx val="4"/>
          <c:order val="4"/>
          <c:tx>
            <c:strRef>
              <c:f>'10K110'!$T$111</c:f>
              <c:strCache>
                <c:ptCount val="1"/>
                <c:pt idx="0">
                  <c:v>860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'10K110'!$T$112:$T$121</c:f>
              <c:numCache>
                <c:formatCode>0.00</c:formatCode>
                <c:ptCount val="10"/>
                <c:pt idx="0">
                  <c:v>-13.390000190734863</c:v>
                </c:pt>
                <c:pt idx="1">
                  <c:v>-12.030000190734864</c:v>
                </c:pt>
                <c:pt idx="2">
                  <c:v>-11.120000190734864</c:v>
                </c:pt>
                <c:pt idx="3">
                  <c:v>-10.660000190734863</c:v>
                </c:pt>
                <c:pt idx="4">
                  <c:v>-10.640000190734863</c:v>
                </c:pt>
                <c:pt idx="5">
                  <c:v>-11.080000190734863</c:v>
                </c:pt>
                <c:pt idx="6">
                  <c:v>-11.970000190734863</c:v>
                </c:pt>
                <c:pt idx="7">
                  <c:v>-13.300000190734863</c:v>
                </c:pt>
                <c:pt idx="8">
                  <c:v>-15.080000190734863</c:v>
                </c:pt>
                <c:pt idx="9">
                  <c:v>-17.320000190734863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1C9-4FC9-8FE7-7D8B20D46991}"/>
            </c:ext>
          </c:extLst>
        </c:ser>
        <c:ser>
          <c:idx val="5"/>
          <c:order val="5"/>
          <c:tx>
            <c:strRef>
              <c:f>'10K110'!$U$111</c:f>
              <c:strCache>
                <c:ptCount val="1"/>
                <c:pt idx="0">
                  <c:v>965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'10K110'!$U$112:$U$121</c:f>
              <c:numCache>
                <c:formatCode>0.00</c:formatCode>
                <c:ptCount val="10"/>
                <c:pt idx="0">
                  <c:v>-13.200000190734864</c:v>
                </c:pt>
                <c:pt idx="1">
                  <c:v>-11.850000190734864</c:v>
                </c:pt>
                <c:pt idx="2">
                  <c:v>-10.940000190734864</c:v>
                </c:pt>
                <c:pt idx="3">
                  <c:v>-10.480000190734863</c:v>
                </c:pt>
                <c:pt idx="4">
                  <c:v>-10.470000190734863</c:v>
                </c:pt>
                <c:pt idx="5">
                  <c:v>-10.910000190734863</c:v>
                </c:pt>
                <c:pt idx="6">
                  <c:v>-11.790000190734863</c:v>
                </c:pt>
                <c:pt idx="7">
                  <c:v>-13.130000190734863</c:v>
                </c:pt>
                <c:pt idx="8">
                  <c:v>-14.910000190734863</c:v>
                </c:pt>
                <c:pt idx="9">
                  <c:v>-17.140000190734863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A1C9-4FC9-8FE7-7D8B20D46991}"/>
            </c:ext>
          </c:extLst>
        </c:ser>
        <c:ser>
          <c:idx val="6"/>
          <c:order val="6"/>
          <c:tx>
            <c:strRef>
              <c:f>'10K110'!$V$111</c:f>
              <c:strCache>
                <c:ptCount val="1"/>
                <c:pt idx="0">
                  <c:v>1070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'10K110'!$V$112:$V$121</c:f>
              <c:numCache>
                <c:formatCode>0.00</c:formatCode>
                <c:ptCount val="10"/>
                <c:pt idx="0">
                  <c:v>-13.030000190734864</c:v>
                </c:pt>
                <c:pt idx="1">
                  <c:v>-11.680000190734864</c:v>
                </c:pt>
                <c:pt idx="2">
                  <c:v>-10.770000190734864</c:v>
                </c:pt>
                <c:pt idx="3">
                  <c:v>-10.310000190734863</c:v>
                </c:pt>
                <c:pt idx="4">
                  <c:v>-10.300000190734863</c:v>
                </c:pt>
                <c:pt idx="5">
                  <c:v>-10.740000190734863</c:v>
                </c:pt>
                <c:pt idx="6">
                  <c:v>-11.630000190734863</c:v>
                </c:pt>
                <c:pt idx="7">
                  <c:v>-12.960000190734863</c:v>
                </c:pt>
                <c:pt idx="8">
                  <c:v>-14.750000190734863</c:v>
                </c:pt>
                <c:pt idx="9">
                  <c:v>-16.980000190734863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A1C9-4FC9-8FE7-7D8B20D46991}"/>
            </c:ext>
          </c:extLst>
        </c:ser>
        <c:ser>
          <c:idx val="7"/>
          <c:order val="7"/>
          <c:tx>
            <c:strRef>
              <c:f>'10K110'!$W$111</c:f>
              <c:strCache>
                <c:ptCount val="1"/>
                <c:pt idx="0">
                  <c:v>1175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'10K110'!$W$112:$W$121</c:f>
              <c:numCache>
                <c:formatCode>0.00</c:formatCode>
                <c:ptCount val="10"/>
                <c:pt idx="0">
                  <c:v>-12.870000190734864</c:v>
                </c:pt>
                <c:pt idx="1">
                  <c:v>-11.520000190734864</c:v>
                </c:pt>
                <c:pt idx="2">
                  <c:v>-10.610000190734864</c:v>
                </c:pt>
                <c:pt idx="3">
                  <c:v>-10.150000190734863</c:v>
                </c:pt>
                <c:pt idx="4">
                  <c:v>-10.140000190734863</c:v>
                </c:pt>
                <c:pt idx="5">
                  <c:v>-10.580000190734863</c:v>
                </c:pt>
                <c:pt idx="6">
                  <c:v>-11.470000190734863</c:v>
                </c:pt>
                <c:pt idx="7">
                  <c:v>-12.800000190734863</c:v>
                </c:pt>
                <c:pt idx="8">
                  <c:v>-14.580000190734863</c:v>
                </c:pt>
                <c:pt idx="9">
                  <c:v>-16.820000190734863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A1C9-4FC9-8FE7-7D8B20D46991}"/>
            </c:ext>
          </c:extLst>
        </c:ser>
        <c:ser>
          <c:idx val="8"/>
          <c:order val="8"/>
          <c:tx>
            <c:strRef>
              <c:f>'10K110'!$X$111</c:f>
              <c:strCache>
                <c:ptCount val="1"/>
                <c:pt idx="0">
                  <c:v>1280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'10K110'!$O$112:$O$121</c:f>
              <c:numCache>
                <c:formatCode>0.0</c:formatCode>
                <c:ptCount val="10"/>
                <c:pt idx="0" formatCode="0.00">
                  <c:v>-8</c:v>
                </c:pt>
                <c:pt idx="1">
                  <c:v>-6</c:v>
                </c:pt>
                <c:pt idx="2">
                  <c:v>-4</c:v>
                </c:pt>
                <c:pt idx="3">
                  <c:v>-2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</c:numCache>
            </c:numRef>
          </c:xVal>
          <c:yVal>
            <c:numRef>
              <c:f>'10K110'!$X$112:$X$121</c:f>
              <c:numCache>
                <c:formatCode>0.00</c:formatCode>
                <c:ptCount val="10"/>
                <c:pt idx="0">
                  <c:v>-12.720000190734863</c:v>
                </c:pt>
                <c:pt idx="1">
                  <c:v>-11.360000190734864</c:v>
                </c:pt>
                <c:pt idx="2">
                  <c:v>-10.460000190734863</c:v>
                </c:pt>
                <c:pt idx="3">
                  <c:v>-10.000000190734863</c:v>
                </c:pt>
                <c:pt idx="4">
                  <c:v>-9.9900001907348628</c:v>
                </c:pt>
                <c:pt idx="5">
                  <c:v>-10.420000190734862</c:v>
                </c:pt>
                <c:pt idx="6">
                  <c:v>-11.310000190734863</c:v>
                </c:pt>
                <c:pt idx="7">
                  <c:v>-12.640000190734863</c:v>
                </c:pt>
                <c:pt idx="8">
                  <c:v>-14.430000190734862</c:v>
                </c:pt>
                <c:pt idx="9">
                  <c:v>-16.660000190734863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A1C9-4FC9-8FE7-7D8B20D46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010496"/>
        <c:axId val="386011072"/>
      </c:scatterChart>
      <c:valAx>
        <c:axId val="386010496"/>
        <c:scaling>
          <c:orientation val="minMax"/>
          <c:max val="11"/>
          <c:min val="-9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Vessel Offset (%WD)</a:t>
                </a:r>
              </a:p>
            </c:rich>
          </c:tx>
          <c:layout>
            <c:manualLayout>
              <c:xMode val="edge"/>
              <c:yMode val="edge"/>
              <c:x val="0.38948815360344108"/>
              <c:y val="0.9148947339029429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011072"/>
        <c:crossesAt val="-100"/>
        <c:crossBetween val="midCat"/>
      </c:valAx>
      <c:valAx>
        <c:axId val="38601107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Telescopic Joint Stroke-out (ft)</a:t>
                </a:r>
              </a:p>
            </c:rich>
          </c:tx>
          <c:layout>
            <c:manualLayout>
              <c:xMode val="edge"/>
              <c:yMode val="edge"/>
              <c:x val="2.5606469002695417E-2"/>
              <c:y val="0.167553470709778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010496"/>
        <c:crossesAt val="-1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603859716027799"/>
          <c:y val="0.10372674373396862"/>
          <c:w val="0.11725439685068335"/>
          <c:h val="0.744704826807979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Riser Operability Plot</a:t>
            </a:r>
          </a:p>
        </c:rich>
      </c:tx>
      <c:layout>
        <c:manualLayout>
          <c:xMode val="edge"/>
          <c:yMode val="edge"/>
          <c:x val="0.39494680851063829"/>
          <c:y val="1.31406044678055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414893617021281E-2"/>
          <c:y val="4.3363994743758211E-2"/>
          <c:w val="0.86303191489361697"/>
          <c:h val="0.7752956636005256"/>
        </c:manualLayout>
      </c:layout>
      <c:scatterChart>
        <c:scatterStyle val="lineMarker"/>
        <c:varyColors val="0"/>
        <c:ser>
          <c:idx val="0"/>
          <c:order val="0"/>
          <c:tx>
            <c:v>Criteria A (+Offset)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'10K110'!$AG$60:$AG$68</c:f>
              <c:numCache>
                <c:formatCode>0.00</c:formatCode>
                <c:ptCount val="9"/>
                <c:pt idx="0">
                  <c:v>-20</c:v>
                </c:pt>
                <c:pt idx="1">
                  <c:v>-20</c:v>
                </c:pt>
                <c:pt idx="2">
                  <c:v>-7.1868131868131844</c:v>
                </c:pt>
                <c:pt idx="3">
                  <c:v>-6.6021505376344081</c:v>
                </c:pt>
                <c:pt idx="4">
                  <c:v>-6.1684210526315777</c:v>
                </c:pt>
                <c:pt idx="5">
                  <c:v>-5.8125000000000018</c:v>
                </c:pt>
                <c:pt idx="6">
                  <c:v>-5.5051546391752559</c:v>
                </c:pt>
                <c:pt idx="7">
                  <c:v>-5.2653061224489814</c:v>
                </c:pt>
                <c:pt idx="8">
                  <c:v>-5.0101010101010104</c:v>
                </c:pt>
              </c:numCache>
            </c:numRef>
          </c:xVal>
          <c:yVal>
            <c:numRef>
              <c:f>'10K110'!$AA$60:$AA$68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8B-4B58-B623-315BBE558D39}"/>
            </c:ext>
          </c:extLst>
        </c:ser>
        <c:ser>
          <c:idx val="2"/>
          <c:order val="1"/>
          <c:tx>
            <c:v>Criteria A (-Offset)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'10K110'!$AC$60:$AC$68</c:f>
              <c:numCache>
                <c:formatCode>0.00</c:formatCode>
                <c:ptCount val="9"/>
                <c:pt idx="0">
                  <c:v>-4.1219512195121943</c:v>
                </c:pt>
                <c:pt idx="1">
                  <c:v>-2.4367816091953998</c:v>
                </c:pt>
                <c:pt idx="2">
                  <c:v>-1.3777777777777782</c:v>
                </c:pt>
                <c:pt idx="3">
                  <c:v>-0.64516129032258007</c:v>
                </c:pt>
                <c:pt idx="4">
                  <c:v>-0.10638297872340452</c:v>
                </c:pt>
                <c:pt idx="5">
                  <c:v>0.27083333333333393</c:v>
                </c:pt>
                <c:pt idx="6">
                  <c:v>0.55670103092783307</c:v>
                </c:pt>
                <c:pt idx="7">
                  <c:v>0.77551020408163396</c:v>
                </c:pt>
                <c:pt idx="8">
                  <c:v>0.92929292929292906</c:v>
                </c:pt>
              </c:numCache>
            </c:numRef>
          </c:xVal>
          <c:yVal>
            <c:numRef>
              <c:f>'10K110'!$AA$60:$AA$68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8B-4B58-B623-315BBE558D39}"/>
            </c:ext>
          </c:extLst>
        </c:ser>
        <c:ser>
          <c:idx val="4"/>
          <c:order val="2"/>
          <c:tx>
            <c:v>Minimum TSR (API Stability)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'10K110'!$AT$6:$AT$7</c:f>
              <c:numCache>
                <c:formatCode>0.00</c:formatCode>
                <c:ptCount val="2"/>
                <c:pt idx="0">
                  <c:v>15</c:v>
                </c:pt>
                <c:pt idx="1">
                  <c:v>-15</c:v>
                </c:pt>
              </c:numCache>
            </c:numRef>
          </c:xVal>
          <c:yVal>
            <c:numRef>
              <c:f>'10K110'!$AR$6:$AR$7</c:f>
              <c:numCache>
                <c:formatCode>0.00</c:formatCode>
                <c:ptCount val="2"/>
                <c:pt idx="0">
                  <c:v>447.60696411132812</c:v>
                </c:pt>
                <c:pt idx="1">
                  <c:v>447.60696411132812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8B-4B58-B623-315BBE558D39}"/>
            </c:ext>
          </c:extLst>
        </c:ser>
        <c:ser>
          <c:idx val="1"/>
          <c:order val="3"/>
          <c:tx>
            <c:v>Criteria B (+Offset)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'10K110'!$AI$60:$AI$68</c:f>
              <c:numCache>
                <c:formatCode>0.00</c:formatCode>
                <c:ptCount val="9"/>
                <c:pt idx="0">
                  <c:v>-20</c:v>
                </c:pt>
                <c:pt idx="1">
                  <c:v>-20</c:v>
                </c:pt>
                <c:pt idx="2">
                  <c:v>-6.087912087912084</c:v>
                </c:pt>
                <c:pt idx="3">
                  <c:v>-5.5268817204301062</c:v>
                </c:pt>
                <c:pt idx="4">
                  <c:v>-5.1157894736842096</c:v>
                </c:pt>
                <c:pt idx="5">
                  <c:v>-4.7708333333333357</c:v>
                </c:pt>
                <c:pt idx="6">
                  <c:v>-4.4742268041237097</c:v>
                </c:pt>
                <c:pt idx="7">
                  <c:v>-4.2448979591836746</c:v>
                </c:pt>
                <c:pt idx="8">
                  <c:v>-4</c:v>
                </c:pt>
              </c:numCache>
            </c:numRef>
          </c:xVal>
          <c:yVal>
            <c:numRef>
              <c:f>'10K110'!$AA$60:$AA$68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E8B-4B58-B623-315BBE558D39}"/>
            </c:ext>
          </c:extLst>
        </c:ser>
        <c:ser>
          <c:idx val="3"/>
          <c:order val="4"/>
          <c:tx>
            <c:v>Criteria B (-Offset)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'10K110'!$AE$60:$AE$68</c:f>
              <c:numCache>
                <c:formatCode>0.00</c:formatCode>
                <c:ptCount val="9"/>
                <c:pt idx="0">
                  <c:v>-5.3414634146341449</c:v>
                </c:pt>
                <c:pt idx="1">
                  <c:v>-3.5862068965517224</c:v>
                </c:pt>
                <c:pt idx="2">
                  <c:v>-2.4888888888888907</c:v>
                </c:pt>
                <c:pt idx="3">
                  <c:v>-1.720430107526882</c:v>
                </c:pt>
                <c:pt idx="4">
                  <c:v>-1.1702127659574462</c:v>
                </c:pt>
                <c:pt idx="5">
                  <c:v>-0.77083333333333215</c:v>
                </c:pt>
                <c:pt idx="6">
                  <c:v>-0.47422680412371321</c:v>
                </c:pt>
                <c:pt idx="7">
                  <c:v>-0.24489795918367108</c:v>
                </c:pt>
                <c:pt idx="8">
                  <c:v>-8.0808080808081328E-2</c:v>
                </c:pt>
              </c:numCache>
            </c:numRef>
          </c:xVal>
          <c:yVal>
            <c:numRef>
              <c:f>'10K110'!$AA$60:$AA$68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E8B-4B58-B623-315BBE558D39}"/>
            </c:ext>
          </c:extLst>
        </c:ser>
        <c:ser>
          <c:idx val="5"/>
          <c:order val="5"/>
          <c:tx>
            <c:v>Maximum TSR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'10K110'!$AT$6:$AT$7</c:f>
              <c:numCache>
                <c:formatCode>0.00</c:formatCode>
                <c:ptCount val="2"/>
                <c:pt idx="0">
                  <c:v>15</c:v>
                </c:pt>
                <c:pt idx="1">
                  <c:v>-15</c:v>
                </c:pt>
              </c:numCache>
            </c:numRef>
          </c:xVal>
          <c:yVal>
            <c:numRef>
              <c:f>'10K110'!$AS$6:$AS$7</c:f>
              <c:numCache>
                <c:formatCode>0.00</c:formatCode>
                <c:ptCount val="2"/>
                <c:pt idx="0">
                  <c:v>1151.9999694824219</c:v>
                </c:pt>
                <c:pt idx="1">
                  <c:v>1151.9999694824219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E8B-4B58-B623-315BBE558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013952"/>
        <c:axId val="386014528"/>
      </c:scatterChart>
      <c:valAx>
        <c:axId val="386013952"/>
        <c:scaling>
          <c:orientation val="minMax"/>
          <c:max val="15"/>
          <c:min val="-15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Vessel Surface Offset (%WD), (+)Down Current, (-)Up Current</a:t>
                </a:r>
              </a:p>
            </c:rich>
          </c:tx>
          <c:layout>
            <c:manualLayout>
              <c:xMode val="edge"/>
              <c:yMode val="edge"/>
              <c:x val="0.27260638297872342"/>
              <c:y val="0.8593955321944809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014528"/>
        <c:crossesAt val="-20"/>
        <c:crossBetween val="midCat"/>
      </c:valAx>
      <c:valAx>
        <c:axId val="386014528"/>
        <c:scaling>
          <c:orientation val="minMax"/>
          <c:max val="1400"/>
          <c:min val="3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TSR, Slip Ring Tension (kips)</a:t>
                </a:r>
              </a:p>
            </c:rich>
          </c:tx>
          <c:layout>
            <c:manualLayout>
              <c:xMode val="edge"/>
              <c:yMode val="edge"/>
              <c:x val="1.0638297872340425E-2"/>
              <c:y val="0.30880420499342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013952"/>
        <c:crossesAt val="-20"/>
        <c:crossBetween val="midCat"/>
        <c:majorUnit val="100"/>
        <c:min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6491414244730339E-3"/>
          <c:y val="0.9054154362567548"/>
          <c:w val="0.98806241567669284"/>
          <c:h val="9.06729537035066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Riser Operating Envelope</a:t>
            </a:r>
          </a:p>
        </c:rich>
      </c:tx>
      <c:layout>
        <c:manualLayout>
          <c:xMode val="edge"/>
          <c:yMode val="edge"/>
          <c:x val="0.36531816181936794"/>
          <c:y val="1.31406044678055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768831155635364E-2"/>
          <c:y val="4.5992115637319315E-2"/>
          <c:w val="0.75028944086967175"/>
          <c:h val="0.85545335085413932"/>
        </c:manualLayout>
      </c:layout>
      <c:scatterChart>
        <c:scatterStyle val="lineMarker"/>
        <c:varyColors val="0"/>
        <c:ser>
          <c:idx val="0"/>
          <c:order val="0"/>
          <c:tx>
            <c:v>Limiting Offset          (+Offset)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'10K110'!$AG$60:$AG$68</c:f>
              <c:numCache>
                <c:formatCode>0.00</c:formatCode>
                <c:ptCount val="9"/>
                <c:pt idx="0">
                  <c:v>-20</c:v>
                </c:pt>
                <c:pt idx="1">
                  <c:v>-20</c:v>
                </c:pt>
                <c:pt idx="2">
                  <c:v>-7.1868131868131844</c:v>
                </c:pt>
                <c:pt idx="3">
                  <c:v>-6.6021505376344081</c:v>
                </c:pt>
                <c:pt idx="4">
                  <c:v>-6.1684210526315777</c:v>
                </c:pt>
                <c:pt idx="5">
                  <c:v>-5.8125000000000018</c:v>
                </c:pt>
                <c:pt idx="6">
                  <c:v>-5.5051546391752559</c:v>
                </c:pt>
                <c:pt idx="7">
                  <c:v>-5.2653061224489814</c:v>
                </c:pt>
                <c:pt idx="8">
                  <c:v>-5.0101010101010104</c:v>
                </c:pt>
              </c:numCache>
            </c:numRef>
          </c:xVal>
          <c:yVal>
            <c:numRef>
              <c:f>'10K110'!$AA$60:$AA$68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00-4072-98CE-408C80F6568A}"/>
            </c:ext>
          </c:extLst>
        </c:ser>
        <c:ser>
          <c:idx val="2"/>
          <c:order val="1"/>
          <c:tx>
            <c:v>Limiting Offset               (-Offset)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'10K110'!$AC$60:$AC$68</c:f>
              <c:numCache>
                <c:formatCode>0.00</c:formatCode>
                <c:ptCount val="9"/>
                <c:pt idx="0">
                  <c:v>-4.1219512195121943</c:v>
                </c:pt>
                <c:pt idx="1">
                  <c:v>-2.4367816091953998</c:v>
                </c:pt>
                <c:pt idx="2">
                  <c:v>-1.3777777777777782</c:v>
                </c:pt>
                <c:pt idx="3">
                  <c:v>-0.64516129032258007</c:v>
                </c:pt>
                <c:pt idx="4">
                  <c:v>-0.10638297872340452</c:v>
                </c:pt>
                <c:pt idx="5">
                  <c:v>0.27083333333333393</c:v>
                </c:pt>
                <c:pt idx="6">
                  <c:v>0.55670103092783307</c:v>
                </c:pt>
                <c:pt idx="7">
                  <c:v>0.77551020408163396</c:v>
                </c:pt>
                <c:pt idx="8">
                  <c:v>0.92929292929292906</c:v>
                </c:pt>
              </c:numCache>
            </c:numRef>
          </c:xVal>
          <c:yVal>
            <c:numRef>
              <c:f>'10K110'!$AA$60:$AA$68</c:f>
              <c:numCache>
                <c:formatCode>General</c:formatCode>
                <c:ptCount val="9"/>
                <c:pt idx="0">
                  <c:v>440</c:v>
                </c:pt>
                <c:pt idx="1">
                  <c:v>545</c:v>
                </c:pt>
                <c:pt idx="2">
                  <c:v>650</c:v>
                </c:pt>
                <c:pt idx="3">
                  <c:v>755</c:v>
                </c:pt>
                <c:pt idx="4">
                  <c:v>860</c:v>
                </c:pt>
                <c:pt idx="5">
                  <c:v>965</c:v>
                </c:pt>
                <c:pt idx="6">
                  <c:v>1070</c:v>
                </c:pt>
                <c:pt idx="7">
                  <c:v>1175</c:v>
                </c:pt>
                <c:pt idx="8">
                  <c:v>1280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00-4072-98CE-408C80F6568A}"/>
            </c:ext>
          </c:extLst>
        </c:ser>
        <c:ser>
          <c:idx val="5"/>
          <c:order val="2"/>
          <c:tx>
            <c:strRef>
              <c:f>'10K110'!$AX$6</c:f>
              <c:strCache>
                <c:ptCount val="1"/>
                <c:pt idx="0">
                  <c:v>Max Tension                   (No Tensioners Down)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'10K110'!$AT$6:$AT$7</c:f>
              <c:numCache>
                <c:formatCode>0.00</c:formatCode>
                <c:ptCount val="2"/>
                <c:pt idx="0">
                  <c:v>15</c:v>
                </c:pt>
                <c:pt idx="1">
                  <c:v>-15</c:v>
                </c:pt>
              </c:numCache>
            </c:numRef>
          </c:xVal>
          <c:yVal>
            <c:numRef>
              <c:f>'10K110'!$AS$6:$AS$7</c:f>
              <c:numCache>
                <c:formatCode>0.00</c:formatCode>
                <c:ptCount val="2"/>
                <c:pt idx="0">
                  <c:v>1151.9999694824219</c:v>
                </c:pt>
                <c:pt idx="1">
                  <c:v>1151.9999694824219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0-4072-98CE-408C80F6568A}"/>
            </c:ext>
          </c:extLst>
        </c:ser>
        <c:ser>
          <c:idx val="1"/>
          <c:order val="3"/>
          <c:tx>
            <c:strRef>
              <c:f>'10K110'!$AX$7</c:f>
              <c:strCache>
                <c:ptCount val="1"/>
                <c:pt idx="0">
                  <c:v>Recommended Minimum Tension **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'10K110'!$AT$6:$AT$7</c:f>
              <c:numCache>
                <c:formatCode>0.00</c:formatCode>
                <c:ptCount val="2"/>
                <c:pt idx="0">
                  <c:v>15</c:v>
                </c:pt>
                <c:pt idx="1">
                  <c:v>-15</c:v>
                </c:pt>
              </c:numCache>
            </c:numRef>
          </c:xVal>
          <c:yVal>
            <c:numRef>
              <c:f>'10K110'!$AQ$6:$AQ$7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700-4072-98CE-408C80F6568A}"/>
            </c:ext>
          </c:extLst>
        </c:ser>
        <c:ser>
          <c:idx val="3"/>
          <c:order val="4"/>
          <c:tx>
            <c:strRef>
              <c:f>'10K110'!$AX$8</c:f>
              <c:strCache>
                <c:ptCount val="1"/>
                <c:pt idx="0">
                  <c:v>Buckling Tension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'10K110'!$AT$6:$AT$7</c:f>
              <c:numCache>
                <c:formatCode>0.00</c:formatCode>
                <c:ptCount val="2"/>
                <c:pt idx="0">
                  <c:v>15</c:v>
                </c:pt>
                <c:pt idx="1">
                  <c:v>-15</c:v>
                </c:pt>
              </c:numCache>
            </c:numRef>
          </c:xVal>
          <c:yVal>
            <c:numRef>
              <c:f>'10K110'!$AR$6:$AR$7</c:f>
              <c:numCache>
                <c:formatCode>0.00</c:formatCode>
                <c:ptCount val="2"/>
                <c:pt idx="0">
                  <c:v>447.60696411132812</c:v>
                </c:pt>
                <c:pt idx="1">
                  <c:v>447.60696411132812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0-4072-98CE-408C80F65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56800"/>
        <c:axId val="386157376"/>
      </c:scatterChart>
      <c:valAx>
        <c:axId val="386156800"/>
        <c:scaling>
          <c:orientation val="minMax"/>
          <c:max val="15"/>
          <c:min val="-15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Vessel Surface Offset (%WD), (+)Down Current, (-)Up Current</a:t>
                </a:r>
              </a:p>
            </c:rich>
          </c:tx>
          <c:layout>
            <c:manualLayout>
              <c:xMode val="edge"/>
              <c:yMode val="edge"/>
              <c:x val="0.23468220229696721"/>
              <c:y val="0.942181340341655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57376"/>
        <c:crossesAt val="-20"/>
        <c:crossBetween val="midCat"/>
      </c:valAx>
      <c:valAx>
        <c:axId val="386157376"/>
        <c:scaling>
          <c:orientation val="minMax"/>
          <c:max val="1400"/>
          <c:min val="3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TSR, Slip Ring Tension (kips)</a:t>
                </a:r>
              </a:p>
            </c:rich>
          </c:tx>
          <c:layout>
            <c:manualLayout>
              <c:xMode val="edge"/>
              <c:yMode val="edge"/>
              <c:x val="6.9364161849710983E-3"/>
              <c:y val="0.350854139290407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156800"/>
        <c:crossesAt val="-20"/>
        <c:crossBetween val="midCat"/>
        <c:majorUnit val="100"/>
        <c:min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200681323610537"/>
          <c:y val="0.10644220764255294"/>
          <c:w val="0.16185474366577679"/>
          <c:h val="0.73721053663285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600075</xdr:colOff>
      <xdr:row>0</xdr:row>
      <xdr:rowOff>0</xdr:rowOff>
    </xdr:from>
    <xdr:to>
      <xdr:col>23</xdr:col>
      <xdr:colOff>600075</xdr:colOff>
      <xdr:row>22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33</xdr:col>
      <xdr:colOff>0</xdr:colOff>
      <xdr:row>22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37</xdr:row>
      <xdr:rowOff>38100</xdr:rowOff>
    </xdr:from>
    <xdr:to>
      <xdr:col>24</xdr:col>
      <xdr:colOff>0</xdr:colOff>
      <xdr:row>52</xdr:row>
      <xdr:rowOff>190500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47625</xdr:colOff>
      <xdr:row>5</xdr:row>
      <xdr:rowOff>38100</xdr:rowOff>
    </xdr:from>
    <xdr:to>
      <xdr:col>36</xdr:col>
      <xdr:colOff>9525</xdr:colOff>
      <xdr:row>20</xdr:row>
      <xdr:rowOff>190500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47625</xdr:colOff>
      <xdr:row>21</xdr:row>
      <xdr:rowOff>38100</xdr:rowOff>
    </xdr:from>
    <xdr:to>
      <xdr:col>36</xdr:col>
      <xdr:colOff>0</xdr:colOff>
      <xdr:row>36</xdr:row>
      <xdr:rowOff>190500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47625</xdr:colOff>
      <xdr:row>5</xdr:row>
      <xdr:rowOff>38100</xdr:rowOff>
    </xdr:from>
    <xdr:to>
      <xdr:col>23</xdr:col>
      <xdr:colOff>704850</xdr:colOff>
      <xdr:row>20</xdr:row>
      <xdr:rowOff>190500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47625</xdr:colOff>
      <xdr:row>21</xdr:row>
      <xdr:rowOff>38100</xdr:rowOff>
    </xdr:from>
    <xdr:to>
      <xdr:col>24</xdr:col>
      <xdr:colOff>0</xdr:colOff>
      <xdr:row>36</xdr:row>
      <xdr:rowOff>190500</xdr:rowOff>
    </xdr:to>
    <xdr:graphicFrame macro="">
      <xdr:nvGraphicFramePr>
        <xdr:cNvPr id="205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47625</xdr:colOff>
      <xdr:row>56</xdr:row>
      <xdr:rowOff>38100</xdr:rowOff>
    </xdr:from>
    <xdr:to>
      <xdr:col>24</xdr:col>
      <xdr:colOff>0</xdr:colOff>
      <xdr:row>71</xdr:row>
      <xdr:rowOff>190500</xdr:rowOff>
    </xdr:to>
    <xdr:graphicFrame macro="">
      <xdr:nvGraphicFramePr>
        <xdr:cNvPr id="205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47625</xdr:colOff>
      <xdr:row>72</xdr:row>
      <xdr:rowOff>38100</xdr:rowOff>
    </xdr:from>
    <xdr:to>
      <xdr:col>24</xdr:col>
      <xdr:colOff>0</xdr:colOff>
      <xdr:row>87</xdr:row>
      <xdr:rowOff>190500</xdr:rowOff>
    </xdr:to>
    <xdr:graphicFrame macro="">
      <xdr:nvGraphicFramePr>
        <xdr:cNvPr id="205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47625</xdr:colOff>
      <xdr:row>37</xdr:row>
      <xdr:rowOff>38100</xdr:rowOff>
    </xdr:from>
    <xdr:to>
      <xdr:col>36</xdr:col>
      <xdr:colOff>0</xdr:colOff>
      <xdr:row>52</xdr:row>
      <xdr:rowOff>190500</xdr:rowOff>
    </xdr:to>
    <xdr:graphicFrame macro="">
      <xdr:nvGraphicFramePr>
        <xdr:cNvPr id="2056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76200</xdr:colOff>
      <xdr:row>88</xdr:row>
      <xdr:rowOff>38100</xdr:rowOff>
    </xdr:from>
    <xdr:to>
      <xdr:col>24</xdr:col>
      <xdr:colOff>0</xdr:colOff>
      <xdr:row>103</xdr:row>
      <xdr:rowOff>190500</xdr:rowOff>
    </xdr:to>
    <xdr:graphicFrame macro="">
      <xdr:nvGraphicFramePr>
        <xdr:cNvPr id="205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9525</xdr:colOff>
      <xdr:row>68</xdr:row>
      <xdr:rowOff>38100</xdr:rowOff>
    </xdr:from>
    <xdr:to>
      <xdr:col>35</xdr:col>
      <xdr:colOff>876300</xdr:colOff>
      <xdr:row>99</xdr:row>
      <xdr:rowOff>200025</xdr:rowOff>
    </xdr:to>
    <xdr:graphicFrame macro="">
      <xdr:nvGraphicFramePr>
        <xdr:cNvPr id="205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9525</xdr:colOff>
      <xdr:row>68</xdr:row>
      <xdr:rowOff>38100</xdr:rowOff>
    </xdr:from>
    <xdr:to>
      <xdr:col>57</xdr:col>
      <xdr:colOff>876300</xdr:colOff>
      <xdr:row>99</xdr:row>
      <xdr:rowOff>200025</xdr:rowOff>
    </xdr:to>
    <xdr:graphicFrame macro="">
      <xdr:nvGraphicFramePr>
        <xdr:cNvPr id="2059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37</xdr:row>
      <xdr:rowOff>38100</xdr:rowOff>
    </xdr:from>
    <xdr:to>
      <xdr:col>24</xdr:col>
      <xdr:colOff>0</xdr:colOff>
      <xdr:row>52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47625</xdr:colOff>
      <xdr:row>5</xdr:row>
      <xdr:rowOff>38100</xdr:rowOff>
    </xdr:from>
    <xdr:to>
      <xdr:col>36</xdr:col>
      <xdr:colOff>9525</xdr:colOff>
      <xdr:row>20</xdr:row>
      <xdr:rowOff>190500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47625</xdr:colOff>
      <xdr:row>21</xdr:row>
      <xdr:rowOff>38100</xdr:rowOff>
    </xdr:from>
    <xdr:to>
      <xdr:col>36</xdr:col>
      <xdr:colOff>0</xdr:colOff>
      <xdr:row>36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47625</xdr:colOff>
      <xdr:row>5</xdr:row>
      <xdr:rowOff>38100</xdr:rowOff>
    </xdr:from>
    <xdr:to>
      <xdr:col>23</xdr:col>
      <xdr:colOff>704850</xdr:colOff>
      <xdr:row>20</xdr:row>
      <xdr:rowOff>190500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47625</xdr:colOff>
      <xdr:row>21</xdr:row>
      <xdr:rowOff>38100</xdr:rowOff>
    </xdr:from>
    <xdr:to>
      <xdr:col>24</xdr:col>
      <xdr:colOff>0</xdr:colOff>
      <xdr:row>36</xdr:row>
      <xdr:rowOff>190500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47625</xdr:colOff>
      <xdr:row>56</xdr:row>
      <xdr:rowOff>38100</xdr:rowOff>
    </xdr:from>
    <xdr:to>
      <xdr:col>24</xdr:col>
      <xdr:colOff>0</xdr:colOff>
      <xdr:row>71</xdr:row>
      <xdr:rowOff>190500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47625</xdr:colOff>
      <xdr:row>72</xdr:row>
      <xdr:rowOff>38100</xdr:rowOff>
    </xdr:from>
    <xdr:to>
      <xdr:col>24</xdr:col>
      <xdr:colOff>0</xdr:colOff>
      <xdr:row>87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47625</xdr:colOff>
      <xdr:row>37</xdr:row>
      <xdr:rowOff>38100</xdr:rowOff>
    </xdr:from>
    <xdr:to>
      <xdr:col>36</xdr:col>
      <xdr:colOff>0</xdr:colOff>
      <xdr:row>52</xdr:row>
      <xdr:rowOff>190500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76200</xdr:colOff>
      <xdr:row>88</xdr:row>
      <xdr:rowOff>38100</xdr:rowOff>
    </xdr:from>
    <xdr:to>
      <xdr:col>24</xdr:col>
      <xdr:colOff>0</xdr:colOff>
      <xdr:row>103</xdr:row>
      <xdr:rowOff>190500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9525</xdr:colOff>
      <xdr:row>68</xdr:row>
      <xdr:rowOff>38100</xdr:rowOff>
    </xdr:from>
    <xdr:to>
      <xdr:col>35</xdr:col>
      <xdr:colOff>876300</xdr:colOff>
      <xdr:row>99</xdr:row>
      <xdr:rowOff>200025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46</xdr:col>
      <xdr:colOff>9525</xdr:colOff>
      <xdr:row>68</xdr:row>
      <xdr:rowOff>38100</xdr:rowOff>
    </xdr:from>
    <xdr:to>
      <xdr:col>57</xdr:col>
      <xdr:colOff>876300</xdr:colOff>
      <xdr:row>99</xdr:row>
      <xdr:rowOff>200025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47625</xdr:colOff>
      <xdr:row>37</xdr:row>
      <xdr:rowOff>38100</xdr:rowOff>
    </xdr:from>
    <xdr:to>
      <xdr:col>24</xdr:col>
      <xdr:colOff>0</xdr:colOff>
      <xdr:row>52</xdr:row>
      <xdr:rowOff>190500</xdr:rowOff>
    </xdr:to>
    <xdr:pic>
      <xdr:nvPicPr>
        <xdr:cNvPr id="13" name="Object 1299"/>
        <xdr:cNvPicPr preferRelativeResize="0">
          <a:picLocks noRot="1"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8153400"/>
          <a:ext cx="7096125" cy="35814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>
    <xdr:from>
      <xdr:col>14</xdr:col>
      <xdr:colOff>47625</xdr:colOff>
      <xdr:row>37</xdr:row>
      <xdr:rowOff>38100</xdr:rowOff>
    </xdr:from>
    <xdr:to>
      <xdr:col>24</xdr:col>
      <xdr:colOff>0</xdr:colOff>
      <xdr:row>52</xdr:row>
      <xdr:rowOff>190500</xdr:rowOff>
    </xdr:to>
    <xdr:pic>
      <xdr:nvPicPr>
        <xdr:cNvPr id="14" name="Object 1300"/>
        <xdr:cNvPicPr preferRelativeResize="0">
          <a:picLocks noRot="1"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8153400"/>
          <a:ext cx="7096125" cy="35814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Paragon/DPDS3/Riser%201099'%20Alum%20Drift-off%20(Brazil)/DerpSum%20DPDS3%20Alum%20335m%20IN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Control"/>
      <sheetName val="temp"/>
      <sheetName val="10K86"/>
      <sheetName val="10L86"/>
      <sheetName val="10M86"/>
      <sheetName val="10N86"/>
      <sheetName val="10K90"/>
      <sheetName val="10L90"/>
      <sheetName val="10M90"/>
      <sheetName val="10N90"/>
      <sheetName val="10K95"/>
      <sheetName val="10L95"/>
      <sheetName val="10M95"/>
      <sheetName val="10N95"/>
      <sheetName val="10K100"/>
      <sheetName val="10L100"/>
      <sheetName val="10M100"/>
      <sheetName val="10N100"/>
      <sheetName val="10K105"/>
      <sheetName val="10L105"/>
      <sheetName val="10M105"/>
      <sheetName val="10N105"/>
      <sheetName val="10K110"/>
      <sheetName val="10L110"/>
      <sheetName val="10M110"/>
      <sheetName val="10N110"/>
      <sheetName val="10K115"/>
      <sheetName val="10L115"/>
      <sheetName val="10M115"/>
      <sheetName val="10N115"/>
      <sheetName val="10K120"/>
      <sheetName val="10L120"/>
      <sheetName val="10M120"/>
      <sheetName val="10N120"/>
      <sheetName val="10K125"/>
      <sheetName val="10L125"/>
      <sheetName val="10M125"/>
      <sheetName val="10N125"/>
      <sheetName val="10K130"/>
      <sheetName val="10L130"/>
      <sheetName val="10M130"/>
      <sheetName val="10N130"/>
      <sheetName val="10K135"/>
      <sheetName val="10L135"/>
      <sheetName val="10M135"/>
      <sheetName val="10N135"/>
      <sheetName val="10K140"/>
      <sheetName val="10L140"/>
      <sheetName val="10M140"/>
      <sheetName val="10N140"/>
      <sheetName val="10K145"/>
      <sheetName val="10L145"/>
      <sheetName val="10M145"/>
      <sheetName val="10N145"/>
      <sheetName val="10K150"/>
      <sheetName val="10L150"/>
      <sheetName val="10M150"/>
      <sheetName val="10N150"/>
      <sheetName val="10K155"/>
      <sheetName val="10L155"/>
      <sheetName val="10M155"/>
      <sheetName val="10N155"/>
      <sheetName val="10K160"/>
      <sheetName val="10L160"/>
      <sheetName val="10M160"/>
      <sheetName val="10N160"/>
      <sheetName val="10I86"/>
      <sheetName val="10J86"/>
      <sheetName val="10I90"/>
      <sheetName val="10J90"/>
      <sheetName val="10I95"/>
      <sheetName val="10J95"/>
      <sheetName val="10I100"/>
      <sheetName val="10J100"/>
      <sheetName val="10I105"/>
      <sheetName val="10J105"/>
      <sheetName val="10I110"/>
      <sheetName val="10J110"/>
      <sheetName val="10I115"/>
      <sheetName val="10J115"/>
      <sheetName val="10I120"/>
      <sheetName val="10J120"/>
      <sheetName val="10I125"/>
      <sheetName val="10J125"/>
      <sheetName val="10I130"/>
      <sheetName val="10J130"/>
      <sheetName val="10I135"/>
      <sheetName val="10J135"/>
      <sheetName val="10I140"/>
      <sheetName val="10J140"/>
      <sheetName val="10I145"/>
      <sheetName val="10J145"/>
      <sheetName val="10I150"/>
      <sheetName val="10J150"/>
      <sheetName val="10I155"/>
      <sheetName val="10J155"/>
      <sheetName val="10I160"/>
      <sheetName val="10J160"/>
      <sheetName val="10C86"/>
      <sheetName val="10D86"/>
      <sheetName val="10E86"/>
      <sheetName val="10F86"/>
      <sheetName val="10G86"/>
      <sheetName val="10H86"/>
      <sheetName val="10C90"/>
      <sheetName val="10D90"/>
      <sheetName val="10E90"/>
      <sheetName val="10F90"/>
      <sheetName val="10G90"/>
      <sheetName val="10H90"/>
      <sheetName val="10C95"/>
      <sheetName val="10D95"/>
      <sheetName val="10E95"/>
      <sheetName val="10F95"/>
      <sheetName val="10G95"/>
      <sheetName val="10H95"/>
      <sheetName val="10C100"/>
      <sheetName val="10D100"/>
      <sheetName val="10E100"/>
      <sheetName val="10F100"/>
      <sheetName val="10G100"/>
      <sheetName val="10H100"/>
      <sheetName val="10C105"/>
      <sheetName val="10D105"/>
      <sheetName val="10E105"/>
      <sheetName val="10F105"/>
      <sheetName val="10G105"/>
      <sheetName val="10H105"/>
      <sheetName val="10C110"/>
      <sheetName val="10D110"/>
      <sheetName val="10E110"/>
      <sheetName val="10F110"/>
      <sheetName val="10G110"/>
      <sheetName val="10H110"/>
      <sheetName val="10C115"/>
      <sheetName val="10D115"/>
      <sheetName val="10E115"/>
      <sheetName val="10F115"/>
      <sheetName val="10G115"/>
      <sheetName val="10H115"/>
      <sheetName val="10C120"/>
      <sheetName val="10D120"/>
      <sheetName val="10E120"/>
      <sheetName val="10F120"/>
      <sheetName val="10G120"/>
      <sheetName val="10H120"/>
      <sheetName val="10C125"/>
      <sheetName val="10D125"/>
      <sheetName val="10E125"/>
      <sheetName val="10F125"/>
      <sheetName val="10G125"/>
      <sheetName val="10H125"/>
      <sheetName val="10C130"/>
      <sheetName val="10D130"/>
      <sheetName val="10E130"/>
      <sheetName val="10F130"/>
      <sheetName val="10G130"/>
      <sheetName val="10H130"/>
      <sheetName val="10C135"/>
      <sheetName val="10D135"/>
      <sheetName val="10E135"/>
      <sheetName val="10F135"/>
      <sheetName val="10G135"/>
      <sheetName val="10H135"/>
      <sheetName val="10C140"/>
      <sheetName val="10D140"/>
      <sheetName val="10E140"/>
      <sheetName val="10F140"/>
      <sheetName val="10G140"/>
      <sheetName val="10H140"/>
      <sheetName val="10C145"/>
      <sheetName val="10D145"/>
      <sheetName val="10E145"/>
      <sheetName val="10F145"/>
      <sheetName val="10G145"/>
      <sheetName val="10H145"/>
      <sheetName val="10C150"/>
      <sheetName val="10D150"/>
      <sheetName val="10E150"/>
      <sheetName val="10F150"/>
      <sheetName val="10G150"/>
      <sheetName val="10H150"/>
      <sheetName val="10C155"/>
      <sheetName val="10D155"/>
      <sheetName val="10E155"/>
      <sheetName val="10F155"/>
      <sheetName val="10G155"/>
      <sheetName val="10H155"/>
      <sheetName val="10C160"/>
      <sheetName val="10D160"/>
      <sheetName val="10E160"/>
      <sheetName val="10F160"/>
      <sheetName val="10G160"/>
      <sheetName val="10H16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AL1">
            <v>0</v>
          </cell>
          <cell r="AM1">
            <v>2</v>
          </cell>
          <cell r="AN1">
            <v>4</v>
          </cell>
          <cell r="AO1">
            <v>19.333333333333332</v>
          </cell>
          <cell r="AP1">
            <v>-2</v>
          </cell>
          <cell r="AQ1">
            <v>-10</v>
          </cell>
          <cell r="AR1">
            <v>0</v>
          </cell>
          <cell r="AT1">
            <v>-4</v>
          </cell>
        </row>
        <row r="2">
          <cell r="AL2">
            <v>1380</v>
          </cell>
          <cell r="AM2">
            <v>2</v>
          </cell>
          <cell r="AN2">
            <v>4</v>
          </cell>
          <cell r="AO2">
            <v>19.333333333333332</v>
          </cell>
          <cell r="AP2">
            <v>-2</v>
          </cell>
          <cell r="AQ2">
            <v>9</v>
          </cell>
          <cell r="AR2">
            <v>100</v>
          </cell>
          <cell r="AT2">
            <v>-4</v>
          </cell>
        </row>
        <row r="3">
          <cell r="AO3">
            <v>10</v>
          </cell>
        </row>
        <row r="4">
          <cell r="AO4">
            <v>10</v>
          </cell>
        </row>
        <row r="6">
          <cell r="AQ6" t="e">
            <v>#N/A</v>
          </cell>
          <cell r="AR6">
            <v>447.60696411132812</v>
          </cell>
          <cell r="AS6">
            <v>1151.9999694824219</v>
          </cell>
          <cell r="AT6">
            <v>15</v>
          </cell>
          <cell r="AX6" t="str">
            <v>Max Tension                   (No Tensioners Down)</v>
          </cell>
        </row>
        <row r="7">
          <cell r="AQ7" t="e">
            <v>#N/A</v>
          </cell>
          <cell r="AR7">
            <v>447.60696411132812</v>
          </cell>
          <cell r="AS7">
            <v>1151.9999694824219</v>
          </cell>
          <cell r="AT7">
            <v>-15</v>
          </cell>
          <cell r="AX7" t="str">
            <v>Recommended Minimum Tension **</v>
          </cell>
        </row>
        <row r="8">
          <cell r="AX8" t="str">
            <v>Buckling Tension</v>
          </cell>
        </row>
        <row r="9">
          <cell r="A9">
            <v>-8</v>
          </cell>
          <cell r="B9">
            <v>440</v>
          </cell>
          <cell r="C9">
            <v>298.51299999999998</v>
          </cell>
          <cell r="E9">
            <v>134.21799999999999</v>
          </cell>
          <cell r="F9">
            <v>41.795999999999999</v>
          </cell>
          <cell r="G9">
            <v>-6.5</v>
          </cell>
          <cell r="H9">
            <v>-6.71</v>
          </cell>
          <cell r="I9">
            <v>-0.49</v>
          </cell>
          <cell r="J9">
            <v>-5.61</v>
          </cell>
          <cell r="K9">
            <v>3.2650000000000001</v>
          </cell>
          <cell r="L9">
            <v>7.913978494623656</v>
          </cell>
        </row>
        <row r="10">
          <cell r="B10">
            <v>545</v>
          </cell>
          <cell r="C10">
            <v>403.51299999999998</v>
          </cell>
          <cell r="E10">
            <v>125.18499999999999</v>
          </cell>
          <cell r="F10">
            <v>51.368000000000002</v>
          </cell>
          <cell r="G10">
            <v>-6</v>
          </cell>
          <cell r="H10">
            <v>-6.26</v>
          </cell>
          <cell r="I10">
            <v>-1.19</v>
          </cell>
          <cell r="J10">
            <v>-6.42</v>
          </cell>
          <cell r="K10">
            <v>4.0309999999999997</v>
          </cell>
          <cell r="L10">
            <v>7.8129032258064504</v>
          </cell>
        </row>
        <row r="11">
          <cell r="B11">
            <v>650</v>
          </cell>
          <cell r="C11">
            <v>508.51299999999998</v>
          </cell>
          <cell r="E11">
            <v>119.637</v>
          </cell>
          <cell r="F11">
            <v>60.99</v>
          </cell>
          <cell r="G11">
            <v>-5.68</v>
          </cell>
          <cell r="H11">
            <v>-5.98</v>
          </cell>
          <cell r="I11">
            <v>-1.68</v>
          </cell>
          <cell r="J11">
            <v>-6.99</v>
          </cell>
          <cell r="K11">
            <v>4.7759999999999998</v>
          </cell>
          <cell r="L11">
            <v>7.7010752688172044</v>
          </cell>
        </row>
        <row r="12">
          <cell r="B12">
            <v>755</v>
          </cell>
          <cell r="C12">
            <v>613.51300000000003</v>
          </cell>
          <cell r="E12">
            <v>115.874</v>
          </cell>
          <cell r="F12">
            <v>70.664000000000001</v>
          </cell>
          <cell r="G12">
            <v>-5.46</v>
          </cell>
          <cell r="H12">
            <v>-5.79</v>
          </cell>
          <cell r="I12">
            <v>-2.0299999999999998</v>
          </cell>
          <cell r="J12">
            <v>-7.41</v>
          </cell>
          <cell r="K12">
            <v>5.508</v>
          </cell>
          <cell r="L12">
            <v>7.5806451612903221</v>
          </cell>
        </row>
        <row r="13">
          <cell r="B13">
            <v>860</v>
          </cell>
          <cell r="C13">
            <v>718.51300000000003</v>
          </cell>
          <cell r="E13">
            <v>113.148</v>
          </cell>
          <cell r="F13">
            <v>80.394000000000005</v>
          </cell>
          <cell r="G13">
            <v>-5.29</v>
          </cell>
          <cell r="H13">
            <v>-5.66</v>
          </cell>
          <cell r="I13">
            <v>-2.2999999999999998</v>
          </cell>
          <cell r="J13">
            <v>-7.72</v>
          </cell>
          <cell r="K13">
            <v>6.2320000000000002</v>
          </cell>
          <cell r="L13">
            <v>7.4505376344086018</v>
          </cell>
        </row>
        <row r="14">
          <cell r="B14">
            <v>965</v>
          </cell>
          <cell r="C14">
            <v>823.51300000000003</v>
          </cell>
          <cell r="E14">
            <v>111.07</v>
          </cell>
          <cell r="F14">
            <v>90.177999999999997</v>
          </cell>
          <cell r="G14">
            <v>-5.16</v>
          </cell>
          <cell r="H14">
            <v>-5.55</v>
          </cell>
          <cell r="I14">
            <v>-2.5099999999999998</v>
          </cell>
          <cell r="J14">
            <v>-7.97</v>
          </cell>
          <cell r="K14">
            <v>6.9489999999999998</v>
          </cell>
          <cell r="L14">
            <v>7.3096774193548377</v>
          </cell>
        </row>
        <row r="15">
          <cell r="B15">
            <v>1070</v>
          </cell>
          <cell r="C15">
            <v>928.51300000000003</v>
          </cell>
          <cell r="E15">
            <v>109.41500000000001</v>
          </cell>
          <cell r="F15">
            <v>100</v>
          </cell>
          <cell r="G15">
            <v>-5.0599999999999996</v>
          </cell>
          <cell r="H15">
            <v>-5.47</v>
          </cell>
          <cell r="I15">
            <v>-2.68</v>
          </cell>
          <cell r="J15">
            <v>-8.16</v>
          </cell>
          <cell r="K15">
            <v>7.6609999999999996</v>
          </cell>
          <cell r="L15">
            <v>7.1634408602150534</v>
          </cell>
        </row>
        <row r="16">
          <cell r="B16">
            <v>1175</v>
          </cell>
          <cell r="C16">
            <v>1033.5129999999999</v>
          </cell>
          <cell r="E16">
            <v>108.042</v>
          </cell>
          <cell r="F16">
            <v>109.86</v>
          </cell>
          <cell r="G16">
            <v>-4.97</v>
          </cell>
          <cell r="H16">
            <v>-5.4</v>
          </cell>
          <cell r="I16">
            <v>-2.83</v>
          </cell>
          <cell r="J16">
            <v>-8.3000000000000007</v>
          </cell>
          <cell r="K16">
            <v>8.3699999999999992</v>
          </cell>
          <cell r="L16">
            <v>7.0139784946236556</v>
          </cell>
        </row>
        <row r="17">
          <cell r="B17">
            <v>1280</v>
          </cell>
          <cell r="C17">
            <v>1138.5129999999999</v>
          </cell>
          <cell r="E17">
            <v>106.85899999999999</v>
          </cell>
          <cell r="F17">
            <v>119.73</v>
          </cell>
          <cell r="G17">
            <v>-4.8899999999999997</v>
          </cell>
          <cell r="H17">
            <v>-5.34</v>
          </cell>
          <cell r="I17">
            <v>-2.95</v>
          </cell>
          <cell r="J17">
            <v>-8.42</v>
          </cell>
          <cell r="K17">
            <v>9.077</v>
          </cell>
          <cell r="L17">
            <v>6.8634408602150536</v>
          </cell>
        </row>
        <row r="18">
          <cell r="A18">
            <v>-6</v>
          </cell>
          <cell r="B18">
            <v>440</v>
          </cell>
          <cell r="D18">
            <v>308.5428</v>
          </cell>
          <cell r="E18">
            <v>111.178</v>
          </cell>
          <cell r="F18">
            <v>34.661000000000001</v>
          </cell>
          <cell r="G18">
            <v>-5.34</v>
          </cell>
          <cell r="H18">
            <v>-5.56</v>
          </cell>
          <cell r="I18">
            <v>0.34</v>
          </cell>
          <cell r="J18">
            <v>5.45</v>
          </cell>
          <cell r="K18">
            <v>3.2519999999999998</v>
          </cell>
          <cell r="L18">
            <v>7.913978494623656</v>
          </cell>
        </row>
        <row r="19">
          <cell r="B19">
            <v>545</v>
          </cell>
          <cell r="D19">
            <v>413.5428</v>
          </cell>
          <cell r="E19">
            <v>102.47799999999999</v>
          </cell>
          <cell r="F19">
            <v>42.084000000000003</v>
          </cell>
          <cell r="G19">
            <v>-4.8600000000000003</v>
          </cell>
          <cell r="H19">
            <v>-5.12</v>
          </cell>
          <cell r="I19">
            <v>-0.32</v>
          </cell>
          <cell r="J19">
            <v>-5.55</v>
          </cell>
          <cell r="K19">
            <v>3.9569999999999999</v>
          </cell>
          <cell r="L19">
            <v>7.8129032258064504</v>
          </cell>
        </row>
        <row r="20">
          <cell r="B20">
            <v>650</v>
          </cell>
          <cell r="D20">
            <v>518.54279999999994</v>
          </cell>
          <cell r="E20">
            <v>97.16040000000001</v>
          </cell>
          <cell r="F20">
            <v>49.561</v>
          </cell>
          <cell r="G20">
            <v>-4.5599999999999996</v>
          </cell>
          <cell r="H20">
            <v>-4.8600000000000003</v>
          </cell>
          <cell r="I20">
            <v>-0.77</v>
          </cell>
          <cell r="J20">
            <v>-6.09</v>
          </cell>
          <cell r="K20">
            <v>4.6989999999999998</v>
          </cell>
          <cell r="L20">
            <v>7.7010752688172044</v>
          </cell>
        </row>
        <row r="21">
          <cell r="B21">
            <v>755</v>
          </cell>
          <cell r="D21">
            <v>623.54279999999994</v>
          </cell>
          <cell r="E21">
            <v>93.577600000000004</v>
          </cell>
          <cell r="F21">
            <v>57.093000000000011</v>
          </cell>
          <cell r="G21">
            <v>-4.34</v>
          </cell>
          <cell r="H21">
            <v>-4.68</v>
          </cell>
          <cell r="I21">
            <v>-1.1000000000000001</v>
          </cell>
          <cell r="J21">
            <v>-6.48</v>
          </cell>
          <cell r="K21">
            <v>5.4290000000000003</v>
          </cell>
          <cell r="L21">
            <v>7.5806451612903221</v>
          </cell>
        </row>
        <row r="22">
          <cell r="B22">
            <v>860</v>
          </cell>
          <cell r="D22">
            <v>728.54280000000006</v>
          </cell>
          <cell r="E22">
            <v>91.003</v>
          </cell>
          <cell r="F22">
            <v>64.683999999999997</v>
          </cell>
          <cell r="G22">
            <v>-4.18</v>
          </cell>
          <cell r="H22">
            <v>-4.55</v>
          </cell>
          <cell r="I22">
            <v>-1.35</v>
          </cell>
          <cell r="J22">
            <v>-6.78</v>
          </cell>
          <cell r="K22">
            <v>6.1509999999999998</v>
          </cell>
          <cell r="L22">
            <v>7.4505376344086018</v>
          </cell>
        </row>
        <row r="23">
          <cell r="B23">
            <v>965</v>
          </cell>
          <cell r="D23">
            <v>833.54280000000006</v>
          </cell>
          <cell r="E23">
            <v>89.058700000000002</v>
          </cell>
          <cell r="F23">
            <v>72.328999999999994</v>
          </cell>
          <cell r="G23">
            <v>-4.0599999999999996</v>
          </cell>
          <cell r="H23">
            <v>-4.45</v>
          </cell>
          <cell r="I23">
            <v>-1.55</v>
          </cell>
          <cell r="J23">
            <v>-7.01</v>
          </cell>
          <cell r="K23">
            <v>6.867</v>
          </cell>
          <cell r="L23">
            <v>7.3096774193548377</v>
          </cell>
        </row>
        <row r="24">
          <cell r="B24">
            <v>1070</v>
          </cell>
          <cell r="D24">
            <v>938.54280000000006</v>
          </cell>
          <cell r="E24">
            <v>87.525199999999998</v>
          </cell>
          <cell r="F24">
            <v>80.018000000000001</v>
          </cell>
          <cell r="G24">
            <v>-3.96</v>
          </cell>
          <cell r="H24">
            <v>-4.38</v>
          </cell>
          <cell r="I24">
            <v>-1.71</v>
          </cell>
          <cell r="J24">
            <v>-7.18</v>
          </cell>
          <cell r="K24">
            <v>7.5780000000000003</v>
          </cell>
          <cell r="L24">
            <v>7.1634408602150534</v>
          </cell>
        </row>
        <row r="25">
          <cell r="B25">
            <v>1175</v>
          </cell>
          <cell r="D25">
            <v>1043.5429999999999</v>
          </cell>
          <cell r="E25">
            <v>86.265599999999992</v>
          </cell>
          <cell r="F25">
            <v>87.736000000000004</v>
          </cell>
          <cell r="G25">
            <v>-3.88</v>
          </cell>
          <cell r="H25">
            <v>-4.3099999999999996</v>
          </cell>
          <cell r="I25">
            <v>-1.84</v>
          </cell>
          <cell r="J25">
            <v>-7.32</v>
          </cell>
          <cell r="K25">
            <v>8.2859999999999996</v>
          </cell>
          <cell r="L25">
            <v>7.0139784946236556</v>
          </cell>
        </row>
        <row r="26">
          <cell r="B26">
            <v>1280</v>
          </cell>
          <cell r="D26">
            <v>1148.5429999999999</v>
          </cell>
          <cell r="E26">
            <v>85.191600000000008</v>
          </cell>
          <cell r="F26">
            <v>95.468000000000004</v>
          </cell>
          <cell r="G26">
            <v>-3.81</v>
          </cell>
          <cell r="H26">
            <v>-4.26</v>
          </cell>
          <cell r="I26">
            <v>-1.96</v>
          </cell>
          <cell r="J26">
            <v>-7.43</v>
          </cell>
          <cell r="K26">
            <v>8.9920000000000009</v>
          </cell>
          <cell r="L26">
            <v>6.8634408602150536</v>
          </cell>
        </row>
        <row r="27">
          <cell r="A27">
            <v>-4</v>
          </cell>
          <cell r="B27">
            <v>440</v>
          </cell>
          <cell r="E27">
            <v>88.138999999999996</v>
          </cell>
          <cell r="F27">
            <v>27.524999999999999</v>
          </cell>
          <cell r="G27">
            <v>-4.1900000000000004</v>
          </cell>
          <cell r="H27">
            <v>-4.41</v>
          </cell>
          <cell r="I27">
            <v>1.1599999999999999</v>
          </cell>
          <cell r="J27">
            <v>6.28</v>
          </cell>
          <cell r="K27">
            <v>3.323</v>
          </cell>
          <cell r="L27">
            <v>7.913978494623656</v>
          </cell>
        </row>
        <row r="28">
          <cell r="B28">
            <v>545</v>
          </cell>
          <cell r="E28">
            <v>79.770200000000003</v>
          </cell>
          <cell r="F28">
            <v>32.798999999999999</v>
          </cell>
          <cell r="G28">
            <v>-3.73</v>
          </cell>
          <cell r="H28">
            <v>-3.99</v>
          </cell>
          <cell r="I28">
            <v>0.55000000000000004</v>
          </cell>
          <cell r="J28">
            <v>5.77</v>
          </cell>
          <cell r="K28">
            <v>3.976</v>
          </cell>
          <cell r="L28">
            <v>7.8129032258064504</v>
          </cell>
        </row>
        <row r="29">
          <cell r="B29">
            <v>650</v>
          </cell>
          <cell r="E29">
            <v>74.684099999999987</v>
          </cell>
          <cell r="F29">
            <v>38.131999999999998</v>
          </cell>
          <cell r="G29">
            <v>-3.43</v>
          </cell>
          <cell r="H29">
            <v>-3.73</v>
          </cell>
          <cell r="I29">
            <v>0.13</v>
          </cell>
          <cell r="J29">
            <v>5.44</v>
          </cell>
          <cell r="K29">
            <v>4.6440000000000001</v>
          </cell>
          <cell r="L29">
            <v>7.7010752688172044</v>
          </cell>
        </row>
        <row r="30">
          <cell r="B30">
            <v>755</v>
          </cell>
          <cell r="E30">
            <v>71.281300000000002</v>
          </cell>
          <cell r="F30">
            <v>43.521999999999998</v>
          </cell>
          <cell r="G30">
            <v>-3.23</v>
          </cell>
          <cell r="H30">
            <v>-3.56</v>
          </cell>
          <cell r="I30">
            <v>-0.18</v>
          </cell>
          <cell r="J30">
            <v>-5.55</v>
          </cell>
          <cell r="K30">
            <v>5.35</v>
          </cell>
          <cell r="L30">
            <v>7.5806451612903221</v>
          </cell>
        </row>
        <row r="31">
          <cell r="B31">
            <v>860</v>
          </cell>
          <cell r="E31">
            <v>68.857799999999997</v>
          </cell>
          <cell r="F31">
            <v>48.972999999999999</v>
          </cell>
          <cell r="G31">
            <v>-3.08</v>
          </cell>
          <cell r="H31">
            <v>-3.44</v>
          </cell>
          <cell r="I31">
            <v>-0.41</v>
          </cell>
          <cell r="J31">
            <v>-5.83</v>
          </cell>
          <cell r="K31">
            <v>6.07</v>
          </cell>
          <cell r="L31">
            <v>7.4505376344086018</v>
          </cell>
        </row>
        <row r="32">
          <cell r="B32">
            <v>965</v>
          </cell>
          <cell r="E32">
            <v>67.046999999999997</v>
          </cell>
          <cell r="F32">
            <v>54.47999999999999</v>
          </cell>
          <cell r="G32">
            <v>-2.96</v>
          </cell>
          <cell r="H32">
            <v>-3.35</v>
          </cell>
          <cell r="I32">
            <v>-0.59</v>
          </cell>
          <cell r="J32">
            <v>-6.05</v>
          </cell>
          <cell r="K32">
            <v>6.7850000000000001</v>
          </cell>
          <cell r="L32">
            <v>7.3096774193548377</v>
          </cell>
        </row>
        <row r="33">
          <cell r="B33">
            <v>1070</v>
          </cell>
          <cell r="E33">
            <v>65.635300000000001</v>
          </cell>
          <cell r="F33">
            <v>60.030999999999999</v>
          </cell>
          <cell r="G33">
            <v>-2.87</v>
          </cell>
          <cell r="H33">
            <v>-3.28</v>
          </cell>
          <cell r="I33">
            <v>-0.74</v>
          </cell>
          <cell r="J33">
            <v>-6.21</v>
          </cell>
          <cell r="K33">
            <v>7.4950000000000001</v>
          </cell>
          <cell r="L33">
            <v>7.1634408602150534</v>
          </cell>
        </row>
        <row r="34">
          <cell r="B34">
            <v>1175</v>
          </cell>
          <cell r="E34">
            <v>64.489699999999999</v>
          </cell>
          <cell r="F34">
            <v>65.613</v>
          </cell>
          <cell r="G34">
            <v>-2.79</v>
          </cell>
          <cell r="H34">
            <v>-3.22</v>
          </cell>
          <cell r="I34">
            <v>-0.86</v>
          </cell>
          <cell r="J34">
            <v>-6.34</v>
          </cell>
          <cell r="K34">
            <v>8.202</v>
          </cell>
          <cell r="L34">
            <v>7.0139784946236556</v>
          </cell>
        </row>
        <row r="35">
          <cell r="B35">
            <v>1280</v>
          </cell>
          <cell r="E35">
            <v>63.524000000000001</v>
          </cell>
          <cell r="F35">
            <v>71.209999999999994</v>
          </cell>
          <cell r="G35">
            <v>-2.72</v>
          </cell>
          <cell r="H35">
            <v>-3.18</v>
          </cell>
          <cell r="I35">
            <v>-0.97</v>
          </cell>
          <cell r="J35">
            <v>-6.44</v>
          </cell>
          <cell r="K35">
            <v>8.907</v>
          </cell>
          <cell r="L35">
            <v>6.8634408602150536</v>
          </cell>
        </row>
        <row r="36">
          <cell r="A36">
            <v>-2</v>
          </cell>
          <cell r="B36">
            <v>440</v>
          </cell>
          <cell r="E36">
            <v>65.099599999999995</v>
          </cell>
          <cell r="F36">
            <v>20.388999999999999</v>
          </cell>
          <cell r="G36">
            <v>-3.04</v>
          </cell>
          <cell r="H36">
            <v>-3.25</v>
          </cell>
          <cell r="I36">
            <v>1.99</v>
          </cell>
          <cell r="J36">
            <v>7.1</v>
          </cell>
          <cell r="K36">
            <v>3.3940000000000001</v>
          </cell>
          <cell r="L36">
            <v>7.913978494623656</v>
          </cell>
        </row>
        <row r="37">
          <cell r="B37">
            <v>545</v>
          </cell>
          <cell r="E37">
            <v>57.062800000000003</v>
          </cell>
          <cell r="F37">
            <v>23.515000000000001</v>
          </cell>
          <cell r="G37">
            <v>-2.59</v>
          </cell>
          <cell r="H37">
            <v>-2.85</v>
          </cell>
          <cell r="I37">
            <v>1.42</v>
          </cell>
          <cell r="J37">
            <v>6.64</v>
          </cell>
          <cell r="K37">
            <v>4.0510000000000002</v>
          </cell>
          <cell r="L37">
            <v>7.8129032258064504</v>
          </cell>
        </row>
        <row r="38">
          <cell r="B38">
            <v>650</v>
          </cell>
          <cell r="E38">
            <v>52.207700000000003</v>
          </cell>
          <cell r="F38">
            <v>26.702999999999999</v>
          </cell>
          <cell r="G38">
            <v>-2.31</v>
          </cell>
          <cell r="H38">
            <v>-2.61</v>
          </cell>
          <cell r="I38">
            <v>1.03</v>
          </cell>
          <cell r="J38">
            <v>6.34</v>
          </cell>
          <cell r="K38">
            <v>4.7210000000000001</v>
          </cell>
          <cell r="L38">
            <v>7.7010752688172044</v>
          </cell>
        </row>
        <row r="39">
          <cell r="B39">
            <v>755</v>
          </cell>
          <cell r="E39">
            <v>48.984999999999999</v>
          </cell>
          <cell r="F39">
            <v>29.951000000000001</v>
          </cell>
          <cell r="G39">
            <v>-2.11</v>
          </cell>
          <cell r="H39">
            <v>-2.4500000000000002</v>
          </cell>
          <cell r="I39">
            <v>0.75</v>
          </cell>
          <cell r="J39">
            <v>6.13</v>
          </cell>
          <cell r="K39">
            <v>5.399</v>
          </cell>
          <cell r="L39">
            <v>7.5806451612903221</v>
          </cell>
        </row>
        <row r="40">
          <cell r="B40">
            <v>860</v>
          </cell>
          <cell r="E40">
            <v>46.712700000000005</v>
          </cell>
          <cell r="F40">
            <v>33.262</v>
          </cell>
          <cell r="G40">
            <v>-1.97</v>
          </cell>
          <cell r="H40">
            <v>-2.34</v>
          </cell>
          <cell r="I40">
            <v>0.54</v>
          </cell>
          <cell r="J40">
            <v>5.96</v>
          </cell>
          <cell r="K40">
            <v>6.0810000000000004</v>
          </cell>
          <cell r="L40">
            <v>7.4505376344086018</v>
          </cell>
        </row>
        <row r="41">
          <cell r="B41">
            <v>965</v>
          </cell>
          <cell r="E41">
            <v>45.035299999999999</v>
          </cell>
          <cell r="F41">
            <v>36.630000000000003</v>
          </cell>
          <cell r="G41">
            <v>-1.86</v>
          </cell>
          <cell r="H41">
            <v>-2.25</v>
          </cell>
          <cell r="I41">
            <v>0.37</v>
          </cell>
          <cell r="J41">
            <v>5.82</v>
          </cell>
          <cell r="K41">
            <v>6.766</v>
          </cell>
          <cell r="L41">
            <v>7.3096774193548377</v>
          </cell>
        </row>
        <row r="42">
          <cell r="B42">
            <v>1070</v>
          </cell>
          <cell r="E42">
            <v>43.745400000000004</v>
          </cell>
          <cell r="F42">
            <v>40.045000000000002</v>
          </cell>
          <cell r="G42">
            <v>-1.77</v>
          </cell>
          <cell r="H42">
            <v>-2.19</v>
          </cell>
          <cell r="I42">
            <v>0.23</v>
          </cell>
          <cell r="J42">
            <v>5.7</v>
          </cell>
          <cell r="K42">
            <v>7.452</v>
          </cell>
          <cell r="L42">
            <v>7.1634408602150534</v>
          </cell>
        </row>
        <row r="43">
          <cell r="B43">
            <v>1175</v>
          </cell>
          <cell r="E43">
            <v>42.713800000000006</v>
          </cell>
          <cell r="F43">
            <v>43.491</v>
          </cell>
          <cell r="G43">
            <v>-1.7</v>
          </cell>
          <cell r="H43">
            <v>-2.14</v>
          </cell>
          <cell r="I43">
            <v>0.12</v>
          </cell>
          <cell r="J43">
            <v>5.6</v>
          </cell>
          <cell r="K43">
            <v>8.1389999999999993</v>
          </cell>
          <cell r="L43">
            <v>7.0139784946236556</v>
          </cell>
        </row>
        <row r="44">
          <cell r="B44">
            <v>1280</v>
          </cell>
          <cell r="E44">
            <v>41.856400000000001</v>
          </cell>
          <cell r="F44">
            <v>46.951999999999998</v>
          </cell>
          <cell r="G44">
            <v>-1.64</v>
          </cell>
          <cell r="H44">
            <v>-2.09</v>
          </cell>
          <cell r="I44">
            <v>0.02</v>
          </cell>
          <cell r="J44">
            <v>5.5</v>
          </cell>
          <cell r="K44">
            <v>8.8260000000000005</v>
          </cell>
          <cell r="L44">
            <v>6.8634408602150536</v>
          </cell>
        </row>
        <row r="45">
          <cell r="A45">
            <v>0</v>
          </cell>
          <cell r="B45">
            <v>440</v>
          </cell>
          <cell r="E45">
            <v>42.060199999999995</v>
          </cell>
          <cell r="F45">
            <v>13.253</v>
          </cell>
          <cell r="G45">
            <v>-1.89</v>
          </cell>
          <cell r="H45">
            <v>-2.1</v>
          </cell>
          <cell r="I45">
            <v>2.81</v>
          </cell>
          <cell r="J45">
            <v>7.93</v>
          </cell>
          <cell r="K45">
            <v>3.464</v>
          </cell>
          <cell r="L45">
            <v>7.913978494623656</v>
          </cell>
        </row>
        <row r="46">
          <cell r="B46">
            <v>545</v>
          </cell>
          <cell r="E46">
            <v>34.3553</v>
          </cell>
          <cell r="F46">
            <v>14.230000000000002</v>
          </cell>
          <cell r="G46">
            <v>-1.46</v>
          </cell>
          <cell r="H46">
            <v>-1.72</v>
          </cell>
          <cell r="I46">
            <v>2.29</v>
          </cell>
          <cell r="J46">
            <v>7.51</v>
          </cell>
          <cell r="K46">
            <v>4.125</v>
          </cell>
          <cell r="L46">
            <v>7.8129032258064504</v>
          </cell>
        </row>
        <row r="47">
          <cell r="B47">
            <v>650</v>
          </cell>
          <cell r="E47">
            <v>29.731300000000001</v>
          </cell>
          <cell r="F47">
            <v>15.273999999999997</v>
          </cell>
          <cell r="G47">
            <v>-1.18</v>
          </cell>
          <cell r="H47">
            <v>-1.49</v>
          </cell>
          <cell r="I47">
            <v>1.93</v>
          </cell>
          <cell r="J47">
            <v>7.24</v>
          </cell>
          <cell r="K47">
            <v>4.798</v>
          </cell>
          <cell r="L47">
            <v>7.7010752688172044</v>
          </cell>
        </row>
        <row r="48">
          <cell r="B48">
            <v>755</v>
          </cell>
          <cell r="E48">
            <v>26.688699999999997</v>
          </cell>
          <cell r="F48">
            <v>16.381</v>
          </cell>
          <cell r="G48">
            <v>-1</v>
          </cell>
          <cell r="H48">
            <v>-1.33</v>
          </cell>
          <cell r="I48">
            <v>1.68</v>
          </cell>
          <cell r="J48">
            <v>7.05</v>
          </cell>
          <cell r="K48">
            <v>5.4779999999999998</v>
          </cell>
          <cell r="L48">
            <v>7.5806451612903221</v>
          </cell>
        </row>
        <row r="49">
          <cell r="B49">
            <v>860</v>
          </cell>
          <cell r="E49">
            <v>24.567499999999999</v>
          </cell>
          <cell r="F49">
            <v>17.552</v>
          </cell>
          <cell r="G49">
            <v>-0.86</v>
          </cell>
          <cell r="H49">
            <v>-1.23</v>
          </cell>
          <cell r="I49">
            <v>1.48</v>
          </cell>
          <cell r="J49">
            <v>6.91</v>
          </cell>
          <cell r="K49">
            <v>6.1619999999999999</v>
          </cell>
          <cell r="L49">
            <v>7.4505376344086018</v>
          </cell>
        </row>
        <row r="50">
          <cell r="B50">
            <v>965</v>
          </cell>
          <cell r="E50">
            <v>23.023499999999999</v>
          </cell>
          <cell r="F50">
            <v>18.780999999999999</v>
          </cell>
          <cell r="G50">
            <v>-0.76</v>
          </cell>
          <cell r="H50">
            <v>-1.1499999999999999</v>
          </cell>
          <cell r="I50">
            <v>1.33</v>
          </cell>
          <cell r="J50">
            <v>6.78</v>
          </cell>
          <cell r="K50">
            <v>6.8479999999999999</v>
          </cell>
          <cell r="L50">
            <v>7.3096774193548377</v>
          </cell>
        </row>
        <row r="51">
          <cell r="B51">
            <v>1070</v>
          </cell>
          <cell r="E51">
            <v>21.855599999999999</v>
          </cell>
          <cell r="F51">
            <v>20.058</v>
          </cell>
          <cell r="G51">
            <v>-0.68</v>
          </cell>
          <cell r="H51">
            <v>-1.0900000000000001</v>
          </cell>
          <cell r="I51">
            <v>1.2</v>
          </cell>
          <cell r="J51">
            <v>6.68</v>
          </cell>
          <cell r="K51">
            <v>7.5350000000000001</v>
          </cell>
          <cell r="L51">
            <v>7.1634408602150534</v>
          </cell>
        </row>
        <row r="52">
          <cell r="B52">
            <v>1175</v>
          </cell>
          <cell r="E52">
            <v>20.937900000000003</v>
          </cell>
          <cell r="F52">
            <v>21.367999999999999</v>
          </cell>
          <cell r="G52">
            <v>-0.61</v>
          </cell>
          <cell r="H52">
            <v>-1.05</v>
          </cell>
          <cell r="I52">
            <v>1.1000000000000001</v>
          </cell>
          <cell r="J52">
            <v>6.58</v>
          </cell>
          <cell r="K52">
            <v>8.2230000000000008</v>
          </cell>
          <cell r="L52">
            <v>7.0139784946236556</v>
          </cell>
        </row>
        <row r="53">
          <cell r="B53">
            <v>1280</v>
          </cell>
          <cell r="E53">
            <v>20.1889</v>
          </cell>
          <cell r="F53">
            <v>22.693999999999999</v>
          </cell>
          <cell r="G53">
            <v>-0.56000000000000005</v>
          </cell>
          <cell r="H53">
            <v>-1.01</v>
          </cell>
          <cell r="I53">
            <v>1.01</v>
          </cell>
          <cell r="J53">
            <v>6.49</v>
          </cell>
          <cell r="K53">
            <v>8.9109999999999996</v>
          </cell>
          <cell r="L53">
            <v>6.8634408602150536</v>
          </cell>
        </row>
        <row r="60">
          <cell r="A60">
            <v>2</v>
          </cell>
          <cell r="B60">
            <v>440</v>
          </cell>
          <cell r="E60">
            <v>19.020699999999998</v>
          </cell>
          <cell r="F60">
            <v>6.1173000000000002</v>
          </cell>
          <cell r="G60">
            <v>-0.74</v>
          </cell>
          <cell r="H60">
            <v>-0.95</v>
          </cell>
          <cell r="I60">
            <v>3.64</v>
          </cell>
          <cell r="J60">
            <v>8.75</v>
          </cell>
          <cell r="K60">
            <v>3.5350000000000001</v>
          </cell>
          <cell r="L60">
            <v>7.913978494623656</v>
          </cell>
          <cell r="AA60">
            <v>440</v>
          </cell>
          <cell r="AC60">
            <v>-4.1219512195121943</v>
          </cell>
          <cell r="AE60">
            <v>-5.3414634146341449</v>
          </cell>
          <cell r="AG60">
            <v>-20</v>
          </cell>
          <cell r="AI60">
            <v>-20</v>
          </cell>
        </row>
        <row r="61">
          <cell r="B61">
            <v>545</v>
          </cell>
          <cell r="E61">
            <v>11.6479</v>
          </cell>
          <cell r="F61">
            <v>4.9459999999999997</v>
          </cell>
          <cell r="G61">
            <v>-0.32</v>
          </cell>
          <cell r="H61">
            <v>-0.57999999999999996</v>
          </cell>
          <cell r="I61">
            <v>3.16</v>
          </cell>
          <cell r="J61">
            <v>8.3800000000000008</v>
          </cell>
          <cell r="K61">
            <v>4.2</v>
          </cell>
          <cell r="L61">
            <v>7.8129032258064504</v>
          </cell>
          <cell r="AA61">
            <v>545</v>
          </cell>
          <cell r="AC61">
            <v>-2.4367816091953998</v>
          </cell>
          <cell r="AE61">
            <v>-3.5862068965517224</v>
          </cell>
          <cell r="AG61">
            <v>-20</v>
          </cell>
          <cell r="AI61">
            <v>-20</v>
          </cell>
        </row>
        <row r="62">
          <cell r="B62">
            <v>650</v>
          </cell>
          <cell r="E62">
            <v>7.2549399999999995</v>
          </cell>
          <cell r="F62">
            <v>3.8447999999999998</v>
          </cell>
          <cell r="G62">
            <v>-0.06</v>
          </cell>
          <cell r="H62">
            <v>-0.36</v>
          </cell>
          <cell r="I62">
            <v>2.84</v>
          </cell>
          <cell r="J62">
            <v>8.15</v>
          </cell>
          <cell r="K62">
            <v>4.875</v>
          </cell>
          <cell r="L62">
            <v>7.7010752688172044</v>
          </cell>
          <cell r="AA62">
            <v>650</v>
          </cell>
          <cell r="AC62">
            <v>-1.3777777777777782</v>
          </cell>
          <cell r="AE62">
            <v>-2.4888888888888907</v>
          </cell>
          <cell r="AG62">
            <v>-7.1868131868131844</v>
          </cell>
          <cell r="AI62">
            <v>-6.087912087912084</v>
          </cell>
        </row>
        <row r="63">
          <cell r="B63">
            <v>755</v>
          </cell>
          <cell r="E63">
            <v>9.0372699999999995</v>
          </cell>
          <cell r="F63">
            <v>5.4037999999999995</v>
          </cell>
          <cell r="G63">
            <v>0.12</v>
          </cell>
          <cell r="H63">
            <v>0.45</v>
          </cell>
          <cell r="I63">
            <v>2.6</v>
          </cell>
          <cell r="J63">
            <v>7.98</v>
          </cell>
          <cell r="K63">
            <v>5.5570000000000004</v>
          </cell>
          <cell r="L63">
            <v>7.5806451612903221</v>
          </cell>
          <cell r="AA63">
            <v>755</v>
          </cell>
          <cell r="AC63">
            <v>-0.64516129032258007</v>
          </cell>
          <cell r="AE63">
            <v>-1.720430107526882</v>
          </cell>
          <cell r="AG63">
            <v>-6.6021505376344081</v>
          </cell>
          <cell r="AI63">
            <v>-5.5268817204301062</v>
          </cell>
        </row>
        <row r="64">
          <cell r="B64">
            <v>860</v>
          </cell>
          <cell r="E64">
            <v>12.195699999999999</v>
          </cell>
          <cell r="F64">
            <v>8.5615000000000006</v>
          </cell>
          <cell r="G64">
            <v>0.24</v>
          </cell>
          <cell r="H64">
            <v>0.61</v>
          </cell>
          <cell r="I64">
            <v>2.42</v>
          </cell>
          <cell r="J64">
            <v>7.85</v>
          </cell>
          <cell r="K64">
            <v>6.2430000000000003</v>
          </cell>
          <cell r="L64">
            <v>7.4505376344086018</v>
          </cell>
          <cell r="AA64">
            <v>860</v>
          </cell>
          <cell r="AC64">
            <v>-0.10638297872340452</v>
          </cell>
          <cell r="AE64">
            <v>-1.1702127659574462</v>
          </cell>
          <cell r="AG64">
            <v>-6.1684210526315777</v>
          </cell>
          <cell r="AI64">
            <v>-5.1157894736842096</v>
          </cell>
        </row>
        <row r="65">
          <cell r="B65">
            <v>965</v>
          </cell>
          <cell r="E65">
            <v>14.6593</v>
          </cell>
          <cell r="F65">
            <v>11.801</v>
          </cell>
          <cell r="G65">
            <v>0.34</v>
          </cell>
          <cell r="H65">
            <v>0.73</v>
          </cell>
          <cell r="I65">
            <v>2.29</v>
          </cell>
          <cell r="J65">
            <v>7.74</v>
          </cell>
          <cell r="K65">
            <v>6.93</v>
          </cell>
          <cell r="L65">
            <v>7.3096774193548377</v>
          </cell>
          <cell r="AA65">
            <v>965</v>
          </cell>
          <cell r="AC65">
            <v>0.27083333333333393</v>
          </cell>
          <cell r="AE65">
            <v>-0.77083333333333215</v>
          </cell>
          <cell r="AG65">
            <v>-5.8125000000000018</v>
          </cell>
          <cell r="AI65">
            <v>-4.7708333333333357</v>
          </cell>
        </row>
        <row r="66">
          <cell r="B66">
            <v>1070</v>
          </cell>
          <cell r="E66">
            <v>16.633600000000001</v>
          </cell>
          <cell r="F66">
            <v>15.106</v>
          </cell>
          <cell r="G66">
            <v>0.42</v>
          </cell>
          <cell r="H66">
            <v>0.83</v>
          </cell>
          <cell r="I66">
            <v>2.17</v>
          </cell>
          <cell r="J66">
            <v>7.65</v>
          </cell>
          <cell r="K66">
            <v>7.6180000000000003</v>
          </cell>
          <cell r="L66">
            <v>7.1634408602150534</v>
          </cell>
          <cell r="AA66">
            <v>1070</v>
          </cell>
          <cell r="AC66">
            <v>0.55670103092783307</v>
          </cell>
          <cell r="AE66">
            <v>-0.47422680412371321</v>
          </cell>
          <cell r="AG66">
            <v>-5.5051546391752559</v>
          </cell>
          <cell r="AI66">
            <v>-4.4742268041237097</v>
          </cell>
        </row>
        <row r="67">
          <cell r="B67">
            <v>1175</v>
          </cell>
          <cell r="E67">
            <v>18.242799999999999</v>
          </cell>
          <cell r="F67">
            <v>18.454999999999998</v>
          </cell>
          <cell r="G67">
            <v>0.48</v>
          </cell>
          <cell r="H67">
            <v>0.91</v>
          </cell>
          <cell r="I67">
            <v>2.08</v>
          </cell>
          <cell r="J67">
            <v>7.56</v>
          </cell>
          <cell r="K67">
            <v>8.3070000000000004</v>
          </cell>
          <cell r="L67">
            <v>7.0139784946236556</v>
          </cell>
          <cell r="AA67">
            <v>1175</v>
          </cell>
          <cell r="AC67">
            <v>0.77551020408163396</v>
          </cell>
          <cell r="AE67">
            <v>-0.24489795918367108</v>
          </cell>
          <cell r="AG67">
            <v>-5.2653061224489814</v>
          </cell>
          <cell r="AI67">
            <v>-4.2448979591836746</v>
          </cell>
        </row>
        <row r="68">
          <cell r="B68">
            <v>1280</v>
          </cell>
          <cell r="E68">
            <v>19.567599999999999</v>
          </cell>
          <cell r="F68">
            <v>21.832000000000001</v>
          </cell>
          <cell r="G68">
            <v>0.53</v>
          </cell>
          <cell r="H68">
            <v>0.98</v>
          </cell>
          <cell r="I68">
            <v>2</v>
          </cell>
          <cell r="J68">
            <v>7.48</v>
          </cell>
          <cell r="K68">
            <v>8.9960000000000004</v>
          </cell>
          <cell r="L68">
            <v>6.8634408602150536</v>
          </cell>
          <cell r="AA68">
            <v>1280</v>
          </cell>
          <cell r="AC68">
            <v>0.92929292929292906</v>
          </cell>
          <cell r="AE68">
            <v>-8.0808080808081328E-2</v>
          </cell>
          <cell r="AG68">
            <v>-5.0101010101010104</v>
          </cell>
          <cell r="AI68">
            <v>-4</v>
          </cell>
        </row>
        <row r="69">
          <cell r="A69">
            <v>4</v>
          </cell>
          <cell r="B69">
            <v>440</v>
          </cell>
          <cell r="E69">
            <v>12.6332</v>
          </cell>
          <cell r="F69">
            <v>3.7818000000000001</v>
          </cell>
          <cell r="G69">
            <v>0.42</v>
          </cell>
          <cell r="H69">
            <v>0.63</v>
          </cell>
          <cell r="I69">
            <v>4.47</v>
          </cell>
          <cell r="J69">
            <v>9.58</v>
          </cell>
          <cell r="K69">
            <v>3.6059999999999999</v>
          </cell>
          <cell r="L69">
            <v>7.913978494623656</v>
          </cell>
        </row>
        <row r="70">
          <cell r="B70">
            <v>545</v>
          </cell>
          <cell r="E70">
            <v>21.5441</v>
          </cell>
          <cell r="F70">
            <v>8.6936</v>
          </cell>
          <cell r="G70">
            <v>0.82</v>
          </cell>
          <cell r="H70">
            <v>1.08</v>
          </cell>
          <cell r="I70">
            <v>4.03</v>
          </cell>
          <cell r="J70">
            <v>9.26</v>
          </cell>
          <cell r="K70">
            <v>4.274</v>
          </cell>
          <cell r="L70">
            <v>7.8129032258064504</v>
          </cell>
        </row>
        <row r="71">
          <cell r="B71">
            <v>650</v>
          </cell>
          <cell r="E71">
            <v>27.294800000000002</v>
          </cell>
          <cell r="F71">
            <v>13.773999999999999</v>
          </cell>
          <cell r="G71">
            <v>1.06</v>
          </cell>
          <cell r="H71">
            <v>1.36</v>
          </cell>
          <cell r="I71">
            <v>3.74</v>
          </cell>
          <cell r="J71">
            <v>9.0500000000000007</v>
          </cell>
          <cell r="K71">
            <v>4.9530000000000003</v>
          </cell>
          <cell r="L71">
            <v>7.7010752688172044</v>
          </cell>
        </row>
        <row r="72">
          <cell r="B72">
            <v>755</v>
          </cell>
          <cell r="E72">
            <v>31.333599999999997</v>
          </cell>
          <cell r="F72">
            <v>18.975000000000001</v>
          </cell>
          <cell r="G72">
            <v>1.23</v>
          </cell>
          <cell r="H72">
            <v>1.57</v>
          </cell>
          <cell r="I72">
            <v>3.53</v>
          </cell>
          <cell r="J72">
            <v>8.91</v>
          </cell>
          <cell r="K72">
            <v>5.6369999999999996</v>
          </cell>
          <cell r="L72">
            <v>7.5806451612903221</v>
          </cell>
        </row>
        <row r="73">
          <cell r="B73">
            <v>860</v>
          </cell>
          <cell r="E73">
            <v>34.340900000000005</v>
          </cell>
          <cell r="F73">
            <v>24.271999999999998</v>
          </cell>
          <cell r="G73">
            <v>1.35</v>
          </cell>
          <cell r="H73">
            <v>1.72</v>
          </cell>
          <cell r="I73">
            <v>3.37</v>
          </cell>
          <cell r="J73">
            <v>8.7899999999999991</v>
          </cell>
          <cell r="K73">
            <v>6.3239999999999998</v>
          </cell>
          <cell r="L73">
            <v>7.4505376344086018</v>
          </cell>
        </row>
        <row r="74">
          <cell r="B74">
            <v>965</v>
          </cell>
          <cell r="E74">
            <v>36.671099999999996</v>
          </cell>
          <cell r="F74">
            <v>29.651</v>
          </cell>
          <cell r="G74">
            <v>1.44</v>
          </cell>
          <cell r="H74">
            <v>1.83</v>
          </cell>
          <cell r="I74">
            <v>3.24</v>
          </cell>
          <cell r="J74">
            <v>8.6999999999999993</v>
          </cell>
          <cell r="K74">
            <v>7.0119999999999996</v>
          </cell>
          <cell r="L74">
            <v>7.3096774193548377</v>
          </cell>
        </row>
        <row r="75">
          <cell r="B75">
            <v>1070</v>
          </cell>
          <cell r="E75">
            <v>38.523499999999999</v>
          </cell>
          <cell r="F75">
            <v>35.091999999999999</v>
          </cell>
          <cell r="G75">
            <v>1.51</v>
          </cell>
          <cell r="H75">
            <v>1.93</v>
          </cell>
          <cell r="I75">
            <v>3.14</v>
          </cell>
          <cell r="J75">
            <v>8.6199999999999992</v>
          </cell>
          <cell r="K75">
            <v>7.7009999999999996</v>
          </cell>
          <cell r="L75">
            <v>7.1634408602150534</v>
          </cell>
        </row>
        <row r="76">
          <cell r="B76">
            <v>1175</v>
          </cell>
          <cell r="E76">
            <v>40.018700000000003</v>
          </cell>
          <cell r="F76">
            <v>40.578000000000003</v>
          </cell>
          <cell r="G76">
            <v>1.57</v>
          </cell>
          <cell r="H76">
            <v>2</v>
          </cell>
          <cell r="I76">
            <v>3.06</v>
          </cell>
          <cell r="J76">
            <v>8.5399999999999991</v>
          </cell>
          <cell r="K76">
            <v>8.391</v>
          </cell>
          <cell r="L76">
            <v>7.0139784946236556</v>
          </cell>
        </row>
        <row r="77">
          <cell r="B77">
            <v>1280</v>
          </cell>
          <cell r="E77">
            <v>41.235199999999999</v>
          </cell>
          <cell r="F77">
            <v>46.09</v>
          </cell>
          <cell r="G77">
            <v>1.61</v>
          </cell>
          <cell r="H77">
            <v>2.06</v>
          </cell>
          <cell r="I77">
            <v>2.99</v>
          </cell>
          <cell r="J77">
            <v>8.4700000000000006</v>
          </cell>
          <cell r="K77">
            <v>9.0809999999999995</v>
          </cell>
          <cell r="L77">
            <v>6.8634408602150536</v>
          </cell>
        </row>
        <row r="78">
          <cell r="A78">
            <v>6</v>
          </cell>
          <cell r="B78">
            <v>440</v>
          </cell>
          <cell r="E78">
            <v>35.672700000000006</v>
          </cell>
          <cell r="F78">
            <v>10.917999999999999</v>
          </cell>
          <cell r="G78">
            <v>1.57</v>
          </cell>
          <cell r="H78">
            <v>1.78</v>
          </cell>
          <cell r="I78">
            <v>5.29</v>
          </cell>
          <cell r="J78">
            <v>10.41</v>
          </cell>
          <cell r="K78">
            <v>3.6760000000000002</v>
          </cell>
          <cell r="L78">
            <v>7.913978494623656</v>
          </cell>
        </row>
        <row r="79">
          <cell r="B79">
            <v>545</v>
          </cell>
          <cell r="E79">
            <v>44.2515</v>
          </cell>
          <cell r="F79">
            <v>17.978000000000002</v>
          </cell>
          <cell r="G79">
            <v>1.95</v>
          </cell>
          <cell r="H79">
            <v>2.21</v>
          </cell>
          <cell r="I79">
            <v>4.9000000000000004</v>
          </cell>
          <cell r="J79">
            <v>10.130000000000001</v>
          </cell>
          <cell r="K79">
            <v>4.3490000000000002</v>
          </cell>
          <cell r="L79">
            <v>7.8129032258064504</v>
          </cell>
        </row>
        <row r="80">
          <cell r="B80">
            <v>650</v>
          </cell>
          <cell r="E80">
            <v>49.771099999999997</v>
          </cell>
          <cell r="F80">
            <v>25.202999999999996</v>
          </cell>
          <cell r="G80">
            <v>2.19</v>
          </cell>
          <cell r="H80">
            <v>2.4900000000000002</v>
          </cell>
          <cell r="I80">
            <v>4.6399999999999997</v>
          </cell>
          <cell r="J80">
            <v>9.9499999999999993</v>
          </cell>
          <cell r="K80">
            <v>5.03</v>
          </cell>
          <cell r="L80">
            <v>7.7010752688172044</v>
          </cell>
        </row>
        <row r="81">
          <cell r="B81">
            <v>755</v>
          </cell>
          <cell r="E81">
            <v>53.629899999999992</v>
          </cell>
          <cell r="F81">
            <v>32.545000000000002</v>
          </cell>
          <cell r="G81">
            <v>2.35</v>
          </cell>
          <cell r="H81">
            <v>2.68</v>
          </cell>
          <cell r="I81">
            <v>4.45</v>
          </cell>
          <cell r="J81">
            <v>9.83</v>
          </cell>
          <cell r="K81">
            <v>5.7160000000000002</v>
          </cell>
          <cell r="L81">
            <v>7.5806451612903221</v>
          </cell>
        </row>
        <row r="82">
          <cell r="B82">
            <v>860</v>
          </cell>
          <cell r="E82">
            <v>56.485999999999997</v>
          </cell>
          <cell r="F82">
            <v>39.982999999999997</v>
          </cell>
          <cell r="G82">
            <v>2.46</v>
          </cell>
          <cell r="H82">
            <v>2.82</v>
          </cell>
          <cell r="I82">
            <v>4.3099999999999996</v>
          </cell>
          <cell r="J82">
            <v>9.74</v>
          </cell>
          <cell r="K82">
            <v>6.4039999999999999</v>
          </cell>
          <cell r="L82">
            <v>7.4505376344086018</v>
          </cell>
        </row>
        <row r="83">
          <cell r="B83">
            <v>965</v>
          </cell>
          <cell r="E83">
            <v>58.6828</v>
          </cell>
          <cell r="F83">
            <v>47.5</v>
          </cell>
          <cell r="G83">
            <v>2.54</v>
          </cell>
          <cell r="H83">
            <v>2.93</v>
          </cell>
          <cell r="I83">
            <v>4.2</v>
          </cell>
          <cell r="J83">
            <v>9.66</v>
          </cell>
          <cell r="K83">
            <v>7.0940000000000003</v>
          </cell>
          <cell r="L83">
            <v>7.3096774193548377</v>
          </cell>
        </row>
        <row r="84">
          <cell r="B84">
            <v>1070</v>
          </cell>
          <cell r="E84">
            <v>60.4133</v>
          </cell>
          <cell r="F84">
            <v>55.079000000000001</v>
          </cell>
          <cell r="G84">
            <v>2.61</v>
          </cell>
          <cell r="H84">
            <v>3.02</v>
          </cell>
          <cell r="I84">
            <v>4.12</v>
          </cell>
          <cell r="J84">
            <v>9.59</v>
          </cell>
          <cell r="K84">
            <v>7.7839999999999998</v>
          </cell>
          <cell r="L84">
            <v>7.1634408602150534</v>
          </cell>
        </row>
        <row r="85">
          <cell r="B85">
            <v>1175</v>
          </cell>
          <cell r="E85">
            <v>61.794700000000006</v>
          </cell>
          <cell r="F85">
            <v>62.700999999999993</v>
          </cell>
          <cell r="G85">
            <v>2.65</v>
          </cell>
          <cell r="H85">
            <v>3.09</v>
          </cell>
          <cell r="I85">
            <v>4.04</v>
          </cell>
          <cell r="J85">
            <v>9.52</v>
          </cell>
          <cell r="K85">
            <v>8.4749999999999996</v>
          </cell>
          <cell r="L85">
            <v>7.0139784946236556</v>
          </cell>
        </row>
        <row r="86">
          <cell r="B86">
            <v>1280</v>
          </cell>
          <cell r="E86">
            <v>62.902699999999996</v>
          </cell>
          <cell r="F86">
            <v>70.347999999999999</v>
          </cell>
          <cell r="G86">
            <v>2.69</v>
          </cell>
          <cell r="H86">
            <v>3.15</v>
          </cell>
          <cell r="I86">
            <v>3.98</v>
          </cell>
          <cell r="J86">
            <v>9.4600000000000009</v>
          </cell>
          <cell r="K86">
            <v>9.1649999999999991</v>
          </cell>
          <cell r="L86">
            <v>6.8634408602150536</v>
          </cell>
        </row>
        <row r="87">
          <cell r="A87">
            <v>8</v>
          </cell>
          <cell r="B87">
            <v>440</v>
          </cell>
          <cell r="E87">
            <v>58.7121</v>
          </cell>
          <cell r="F87">
            <v>18.053000000000001</v>
          </cell>
          <cell r="G87">
            <v>2.72</v>
          </cell>
          <cell r="H87">
            <v>2.94</v>
          </cell>
          <cell r="I87">
            <v>6.12</v>
          </cell>
          <cell r="J87">
            <v>11.23</v>
          </cell>
          <cell r="K87">
            <v>3.7469999999999999</v>
          </cell>
          <cell r="L87">
            <v>7.913978494623656</v>
          </cell>
        </row>
        <row r="88">
          <cell r="B88">
            <v>545</v>
          </cell>
          <cell r="E88">
            <v>66.959000000000003</v>
          </cell>
          <cell r="F88">
            <v>27.263000000000002</v>
          </cell>
          <cell r="G88">
            <v>3.09</v>
          </cell>
          <cell r="H88">
            <v>3.35</v>
          </cell>
          <cell r="I88">
            <v>5.77</v>
          </cell>
          <cell r="J88">
            <v>11</v>
          </cell>
          <cell r="K88">
            <v>4.423</v>
          </cell>
          <cell r="L88">
            <v>7.8129032258064504</v>
          </cell>
        </row>
        <row r="89">
          <cell r="B89">
            <v>650</v>
          </cell>
          <cell r="E89">
            <v>72.247500000000002</v>
          </cell>
          <cell r="F89">
            <v>36.631999999999998</v>
          </cell>
          <cell r="G89">
            <v>3.31</v>
          </cell>
          <cell r="H89">
            <v>3.61</v>
          </cell>
          <cell r="I89">
            <v>5.54</v>
          </cell>
          <cell r="J89">
            <v>10.85</v>
          </cell>
          <cell r="K89">
            <v>5.1070000000000002</v>
          </cell>
          <cell r="L89">
            <v>7.7010752688172044</v>
          </cell>
        </row>
        <row r="90">
          <cell r="B90">
            <v>755</v>
          </cell>
          <cell r="E90">
            <v>75.926199999999994</v>
          </cell>
          <cell r="F90">
            <v>46.116</v>
          </cell>
          <cell r="G90">
            <v>3.46</v>
          </cell>
          <cell r="H90">
            <v>3.8</v>
          </cell>
          <cell r="I90">
            <v>5.38</v>
          </cell>
          <cell r="J90">
            <v>10.76</v>
          </cell>
          <cell r="K90">
            <v>5.7949999999999999</v>
          </cell>
          <cell r="L90">
            <v>7.5806451612903221</v>
          </cell>
        </row>
        <row r="91">
          <cell r="B91">
            <v>860</v>
          </cell>
          <cell r="E91">
            <v>78.631199999999993</v>
          </cell>
          <cell r="F91">
            <v>55.694000000000003</v>
          </cell>
          <cell r="G91">
            <v>3.57</v>
          </cell>
          <cell r="H91">
            <v>3.93</v>
          </cell>
          <cell r="I91">
            <v>5.26</v>
          </cell>
          <cell r="J91">
            <v>10.68</v>
          </cell>
          <cell r="K91">
            <v>6.4850000000000003</v>
          </cell>
          <cell r="L91">
            <v>7.4505376344086018</v>
          </cell>
        </row>
        <row r="92">
          <cell r="B92">
            <v>965</v>
          </cell>
          <cell r="E92">
            <v>80.694500000000005</v>
          </cell>
          <cell r="F92">
            <v>65.349000000000004</v>
          </cell>
          <cell r="G92">
            <v>3.64</v>
          </cell>
          <cell r="H92">
            <v>4.03</v>
          </cell>
          <cell r="I92">
            <v>5.16</v>
          </cell>
          <cell r="J92">
            <v>10.62</v>
          </cell>
          <cell r="K92">
            <v>7.1760000000000002</v>
          </cell>
          <cell r="L92">
            <v>7.3096774193548377</v>
          </cell>
        </row>
        <row r="93">
          <cell r="B93">
            <v>1070</v>
          </cell>
          <cell r="E93">
            <v>82.303200000000004</v>
          </cell>
          <cell r="F93">
            <v>75.064999999999998</v>
          </cell>
          <cell r="G93">
            <v>3.7</v>
          </cell>
          <cell r="H93">
            <v>4.12</v>
          </cell>
          <cell r="I93">
            <v>5.09</v>
          </cell>
          <cell r="J93">
            <v>10.56</v>
          </cell>
          <cell r="K93">
            <v>7.867</v>
          </cell>
          <cell r="L93">
            <v>7.1634408602150534</v>
          </cell>
        </row>
        <row r="94">
          <cell r="B94">
            <v>1175</v>
          </cell>
          <cell r="E94">
            <v>83.570599999999985</v>
          </cell>
          <cell r="F94">
            <v>84.823999999999998</v>
          </cell>
          <cell r="G94">
            <v>3.74</v>
          </cell>
          <cell r="H94">
            <v>4.18</v>
          </cell>
          <cell r="I94">
            <v>5.03</v>
          </cell>
          <cell r="J94">
            <v>10.5</v>
          </cell>
          <cell r="K94">
            <v>8.5589999999999993</v>
          </cell>
          <cell r="L94">
            <v>7.0139784946236556</v>
          </cell>
        </row>
        <row r="95">
          <cell r="B95">
            <v>1280</v>
          </cell>
          <cell r="E95">
            <v>84.570300000000003</v>
          </cell>
          <cell r="F95">
            <v>94.606999999999999</v>
          </cell>
          <cell r="G95">
            <v>3.78</v>
          </cell>
          <cell r="H95">
            <v>4.2300000000000004</v>
          </cell>
          <cell r="I95">
            <v>4.97</v>
          </cell>
          <cell r="J95">
            <v>10.45</v>
          </cell>
          <cell r="K95">
            <v>9.25</v>
          </cell>
          <cell r="L95">
            <v>6.8634408602150536</v>
          </cell>
        </row>
        <row r="96">
          <cell r="A96">
            <v>10</v>
          </cell>
          <cell r="B96">
            <v>440</v>
          </cell>
          <cell r="E96">
            <v>81.751499999999993</v>
          </cell>
          <cell r="F96">
            <v>25.189</v>
          </cell>
          <cell r="G96">
            <v>3.87</v>
          </cell>
          <cell r="H96">
            <v>4.09</v>
          </cell>
          <cell r="I96">
            <v>6.94</v>
          </cell>
          <cell r="J96">
            <v>12.06</v>
          </cell>
          <cell r="K96">
            <v>3.8180000000000001</v>
          </cell>
          <cell r="L96">
            <v>7.913978494623656</v>
          </cell>
        </row>
        <row r="97">
          <cell r="B97">
            <v>545</v>
          </cell>
          <cell r="E97">
            <v>89.666499999999999</v>
          </cell>
          <cell r="F97">
            <v>36.546999999999997</v>
          </cell>
          <cell r="G97">
            <v>4.22</v>
          </cell>
          <cell r="H97">
            <v>4.4800000000000004</v>
          </cell>
          <cell r="I97">
            <v>6.64</v>
          </cell>
          <cell r="J97">
            <v>11.87</v>
          </cell>
          <cell r="K97">
            <v>4.4980000000000002</v>
          </cell>
          <cell r="L97">
            <v>7.8129032258064504</v>
          </cell>
        </row>
        <row r="98">
          <cell r="B98">
            <v>650</v>
          </cell>
          <cell r="E98">
            <v>94.723900000000015</v>
          </cell>
          <cell r="F98">
            <v>48.061</v>
          </cell>
          <cell r="G98">
            <v>4.43</v>
          </cell>
          <cell r="H98">
            <v>4.74</v>
          </cell>
          <cell r="I98">
            <v>6.44</v>
          </cell>
          <cell r="J98">
            <v>11.76</v>
          </cell>
          <cell r="K98">
            <v>5.1840000000000002</v>
          </cell>
          <cell r="L98">
            <v>7.7010752688172044</v>
          </cell>
        </row>
        <row r="99">
          <cell r="B99">
            <v>755</v>
          </cell>
          <cell r="E99">
            <v>98.222499999999997</v>
          </cell>
          <cell r="F99">
            <v>59.686999999999998</v>
          </cell>
          <cell r="G99">
            <v>4.58</v>
          </cell>
          <cell r="H99">
            <v>4.91</v>
          </cell>
          <cell r="I99">
            <v>6.3</v>
          </cell>
          <cell r="J99">
            <v>11.68</v>
          </cell>
          <cell r="K99">
            <v>5.875</v>
          </cell>
          <cell r="L99">
            <v>7.5806451612903221</v>
          </cell>
        </row>
        <row r="100">
          <cell r="B100">
            <v>860</v>
          </cell>
          <cell r="E100">
            <v>100.776</v>
          </cell>
          <cell r="F100">
            <v>71.403999999999996</v>
          </cell>
          <cell r="G100">
            <v>4.67</v>
          </cell>
          <cell r="H100">
            <v>5.04</v>
          </cell>
          <cell r="I100">
            <v>6.2</v>
          </cell>
          <cell r="J100">
            <v>11.63</v>
          </cell>
          <cell r="K100">
            <v>6.5659999999999998</v>
          </cell>
          <cell r="L100">
            <v>7.4505376344086018</v>
          </cell>
        </row>
        <row r="101">
          <cell r="B101">
            <v>965</v>
          </cell>
          <cell r="E101">
            <v>102.706</v>
          </cell>
          <cell r="F101">
            <v>83.197999999999993</v>
          </cell>
          <cell r="G101">
            <v>4.74</v>
          </cell>
          <cell r="H101">
            <v>5.14</v>
          </cell>
          <cell r="I101">
            <v>6.12</v>
          </cell>
          <cell r="J101">
            <v>11.58</v>
          </cell>
          <cell r="K101">
            <v>7.258</v>
          </cell>
          <cell r="L101">
            <v>7.3096774193548377</v>
          </cell>
        </row>
        <row r="102">
          <cell r="B102">
            <v>1070</v>
          </cell>
          <cell r="E102">
            <v>104.193</v>
          </cell>
          <cell r="F102">
            <v>95.052000000000007</v>
          </cell>
          <cell r="G102">
            <v>4.79</v>
          </cell>
          <cell r="H102">
            <v>5.21</v>
          </cell>
          <cell r="I102">
            <v>6.06</v>
          </cell>
          <cell r="J102">
            <v>11.53</v>
          </cell>
          <cell r="K102">
            <v>7.9630000000000001</v>
          </cell>
          <cell r="L102">
            <v>7.1634408602150534</v>
          </cell>
        </row>
        <row r="103">
          <cell r="B103">
            <v>1175</v>
          </cell>
          <cell r="E103">
            <v>105.346</v>
          </cell>
          <cell r="F103">
            <v>106.95</v>
          </cell>
          <cell r="G103">
            <v>4.83</v>
          </cell>
          <cell r="H103">
            <v>5.27</v>
          </cell>
          <cell r="I103">
            <v>6.01</v>
          </cell>
          <cell r="J103">
            <v>11.48</v>
          </cell>
          <cell r="K103">
            <v>8.8520000000000003</v>
          </cell>
          <cell r="L103">
            <v>7.0139784946236556</v>
          </cell>
        </row>
        <row r="104">
          <cell r="B104">
            <v>1280</v>
          </cell>
          <cell r="E104">
            <v>106.238</v>
          </cell>
          <cell r="F104">
            <v>118.86</v>
          </cell>
          <cell r="G104">
            <v>4.8600000000000003</v>
          </cell>
          <cell r="H104">
            <v>5.31</v>
          </cell>
          <cell r="I104">
            <v>5.96</v>
          </cell>
          <cell r="J104">
            <v>11.44</v>
          </cell>
          <cell r="K104">
            <v>9.7319999999999993</v>
          </cell>
          <cell r="L104">
            <v>6.8634408602150536</v>
          </cell>
        </row>
        <row r="111">
          <cell r="P111">
            <v>440</v>
          </cell>
          <cell r="Q111">
            <v>545</v>
          </cell>
          <cell r="R111">
            <v>650</v>
          </cell>
          <cell r="S111">
            <v>755</v>
          </cell>
          <cell r="T111">
            <v>860</v>
          </cell>
          <cell r="U111">
            <v>965</v>
          </cell>
          <cell r="V111">
            <v>1070</v>
          </cell>
          <cell r="W111">
            <v>1175</v>
          </cell>
          <cell r="X111">
            <v>1280</v>
          </cell>
        </row>
        <row r="112">
          <cell r="O112">
            <v>-8</v>
          </cell>
          <cell r="P112">
            <v>-14.600000190734864</v>
          </cell>
          <cell r="Q112">
            <v>-14.130000190734863</v>
          </cell>
          <cell r="R112">
            <v>-13.830000190734863</v>
          </cell>
          <cell r="S112">
            <v>-13.590000190734862</v>
          </cell>
          <cell r="T112">
            <v>-13.390000190734863</v>
          </cell>
          <cell r="U112">
            <v>-13.200000190734864</v>
          </cell>
          <cell r="V112">
            <v>-13.030000190734864</v>
          </cell>
          <cell r="W112">
            <v>-12.870000190734864</v>
          </cell>
          <cell r="X112">
            <v>-12.720000190734863</v>
          </cell>
        </row>
        <row r="113">
          <cell r="O113">
            <v>-6</v>
          </cell>
          <cell r="P113">
            <v>-13.200000190734864</v>
          </cell>
          <cell r="Q113">
            <v>-12.760000190734864</v>
          </cell>
          <cell r="R113">
            <v>-12.460000190734863</v>
          </cell>
          <cell r="S113">
            <v>-12.230000190734863</v>
          </cell>
          <cell r="T113">
            <v>-12.030000190734864</v>
          </cell>
          <cell r="U113">
            <v>-11.850000190734864</v>
          </cell>
          <cell r="V113">
            <v>-11.680000190734864</v>
          </cell>
          <cell r="W113">
            <v>-11.520000190734864</v>
          </cell>
          <cell r="X113">
            <v>-11.360000190734864</v>
          </cell>
        </row>
        <row r="114">
          <cell r="O114">
            <v>-4</v>
          </cell>
          <cell r="P114">
            <v>-12.260000190734864</v>
          </cell>
          <cell r="Q114">
            <v>-11.830000190734863</v>
          </cell>
          <cell r="R114">
            <v>-11.540000190734863</v>
          </cell>
          <cell r="S114">
            <v>-11.310000190734863</v>
          </cell>
          <cell r="T114">
            <v>-11.120000190734864</v>
          </cell>
          <cell r="U114">
            <v>-10.940000190734864</v>
          </cell>
          <cell r="V114">
            <v>-10.770000190734864</v>
          </cell>
          <cell r="W114">
            <v>-10.610000190734864</v>
          </cell>
          <cell r="X114">
            <v>-10.460000190734863</v>
          </cell>
        </row>
        <row r="115">
          <cell r="O115">
            <v>-2</v>
          </cell>
          <cell r="P115">
            <v>-11.770000190734864</v>
          </cell>
          <cell r="Q115">
            <v>-11.360000190734864</v>
          </cell>
          <cell r="R115">
            <v>-11.070000190734863</v>
          </cell>
          <cell r="S115">
            <v>-10.850000190734864</v>
          </cell>
          <cell r="T115">
            <v>-10.660000190734863</v>
          </cell>
          <cell r="U115">
            <v>-10.480000190734863</v>
          </cell>
          <cell r="V115">
            <v>-10.310000190734863</v>
          </cell>
          <cell r="W115">
            <v>-10.150000190734863</v>
          </cell>
          <cell r="X115">
            <v>-10.000000190734863</v>
          </cell>
        </row>
        <row r="116">
          <cell r="O116">
            <v>0</v>
          </cell>
          <cell r="P116">
            <v>-11.730000190734863</v>
          </cell>
          <cell r="Q116">
            <v>-11.330000190734863</v>
          </cell>
          <cell r="R116">
            <v>-11.050000190734863</v>
          </cell>
          <cell r="S116">
            <v>-10.840000190734862</v>
          </cell>
          <cell r="T116">
            <v>-10.640000190734863</v>
          </cell>
          <cell r="U116">
            <v>-10.470000190734863</v>
          </cell>
          <cell r="V116">
            <v>-10.300000190734863</v>
          </cell>
          <cell r="W116">
            <v>-10.140000190734863</v>
          </cell>
          <cell r="X116">
            <v>-9.9900001907348628</v>
          </cell>
        </row>
        <row r="117">
          <cell r="O117">
            <v>2</v>
          </cell>
          <cell r="P117">
            <v>-12.150000190734863</v>
          </cell>
          <cell r="Q117">
            <v>-11.760000190734864</v>
          </cell>
          <cell r="R117">
            <v>-11.490000190734863</v>
          </cell>
          <cell r="S117">
            <v>-11.270000190734864</v>
          </cell>
          <cell r="T117">
            <v>-11.080000190734863</v>
          </cell>
          <cell r="U117">
            <v>-10.910000190734863</v>
          </cell>
          <cell r="V117">
            <v>-10.740000190734863</v>
          </cell>
          <cell r="W117">
            <v>-10.580000190734863</v>
          </cell>
          <cell r="X117">
            <v>-10.420000190734862</v>
          </cell>
        </row>
        <row r="118">
          <cell r="O118">
            <v>4</v>
          </cell>
          <cell r="P118">
            <v>-13.010000190734864</v>
          </cell>
          <cell r="Q118">
            <v>-12.630000190734863</v>
          </cell>
          <cell r="R118">
            <v>-12.370000190734864</v>
          </cell>
          <cell r="S118">
            <v>-12.150000190734863</v>
          </cell>
          <cell r="T118">
            <v>-11.970000190734863</v>
          </cell>
          <cell r="U118">
            <v>-11.790000190734863</v>
          </cell>
          <cell r="V118">
            <v>-11.630000190734863</v>
          </cell>
          <cell r="W118">
            <v>-11.470000190734863</v>
          </cell>
          <cell r="X118">
            <v>-11.310000190734863</v>
          </cell>
        </row>
        <row r="119">
          <cell r="O119">
            <v>6</v>
          </cell>
          <cell r="P119">
            <v>-14.330000190734863</v>
          </cell>
          <cell r="Q119">
            <v>-13.960000190734863</v>
          </cell>
          <cell r="R119">
            <v>-13.700000190734864</v>
          </cell>
          <cell r="S119">
            <v>-13.490000190734863</v>
          </cell>
          <cell r="T119">
            <v>-13.300000190734863</v>
          </cell>
          <cell r="U119">
            <v>-13.130000190734863</v>
          </cell>
          <cell r="V119">
            <v>-12.960000190734863</v>
          </cell>
          <cell r="W119">
            <v>-12.800000190734863</v>
          </cell>
          <cell r="X119">
            <v>-12.640000190734863</v>
          </cell>
        </row>
        <row r="120">
          <cell r="O120">
            <v>8</v>
          </cell>
          <cell r="P120">
            <v>-16.090000190734862</v>
          </cell>
          <cell r="Q120">
            <v>-15.730000190734863</v>
          </cell>
          <cell r="R120">
            <v>-15.480000190734863</v>
          </cell>
          <cell r="S120">
            <v>-15.270000190734864</v>
          </cell>
          <cell r="T120">
            <v>-15.080000190734863</v>
          </cell>
          <cell r="U120">
            <v>-14.910000190734863</v>
          </cell>
          <cell r="V120">
            <v>-14.750000190734863</v>
          </cell>
          <cell r="W120">
            <v>-14.580000190734863</v>
          </cell>
          <cell r="X120">
            <v>-14.430000190734862</v>
          </cell>
        </row>
        <row r="121">
          <cell r="O121">
            <v>10</v>
          </cell>
          <cell r="P121">
            <v>-18.310000190734861</v>
          </cell>
          <cell r="Q121">
            <v>-17.960000190734863</v>
          </cell>
          <cell r="R121">
            <v>-17.710000190734863</v>
          </cell>
          <cell r="S121">
            <v>-17.500000190734863</v>
          </cell>
          <cell r="T121">
            <v>-17.320000190734863</v>
          </cell>
          <cell r="U121">
            <v>-17.140000190734863</v>
          </cell>
          <cell r="V121">
            <v>-16.980000190734863</v>
          </cell>
          <cell r="W121">
            <v>-16.820000190734863</v>
          </cell>
          <cell r="X121">
            <v>-16.660000190734863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45"/>
  <sheetViews>
    <sheetView topLeftCell="E1" workbookViewId="0">
      <selection activeCell="I41" sqref="I41"/>
    </sheetView>
  </sheetViews>
  <sheetFormatPr defaultRowHeight="12.75" x14ac:dyDescent="0.2"/>
  <cols>
    <col min="1" max="1" width="40.7109375" customWidth="1"/>
    <col min="2" max="3" width="10.7109375" customWidth="1"/>
    <col min="8" max="11" width="12.7109375" style="105" customWidth="1"/>
    <col min="257" max="257" width="40.7109375" customWidth="1"/>
    <col min="258" max="259" width="10.7109375" customWidth="1"/>
    <col min="264" max="267" width="12.7109375" customWidth="1"/>
    <col min="513" max="513" width="40.7109375" customWidth="1"/>
    <col min="514" max="515" width="10.7109375" customWidth="1"/>
    <col min="520" max="523" width="12.7109375" customWidth="1"/>
    <col min="769" max="769" width="40.7109375" customWidth="1"/>
    <col min="770" max="771" width="10.7109375" customWidth="1"/>
    <col min="776" max="779" width="12.7109375" customWidth="1"/>
    <col min="1025" max="1025" width="40.7109375" customWidth="1"/>
    <col min="1026" max="1027" width="10.7109375" customWidth="1"/>
    <col min="1032" max="1035" width="12.7109375" customWidth="1"/>
    <col min="1281" max="1281" width="40.7109375" customWidth="1"/>
    <col min="1282" max="1283" width="10.7109375" customWidth="1"/>
    <col min="1288" max="1291" width="12.7109375" customWidth="1"/>
    <col min="1537" max="1537" width="40.7109375" customWidth="1"/>
    <col min="1538" max="1539" width="10.7109375" customWidth="1"/>
    <col min="1544" max="1547" width="12.7109375" customWidth="1"/>
    <col min="1793" max="1793" width="40.7109375" customWidth="1"/>
    <col min="1794" max="1795" width="10.7109375" customWidth="1"/>
    <col min="1800" max="1803" width="12.7109375" customWidth="1"/>
    <col min="2049" max="2049" width="40.7109375" customWidth="1"/>
    <col min="2050" max="2051" width="10.7109375" customWidth="1"/>
    <col min="2056" max="2059" width="12.7109375" customWidth="1"/>
    <col min="2305" max="2305" width="40.7109375" customWidth="1"/>
    <col min="2306" max="2307" width="10.7109375" customWidth="1"/>
    <col min="2312" max="2315" width="12.7109375" customWidth="1"/>
    <col min="2561" max="2561" width="40.7109375" customWidth="1"/>
    <col min="2562" max="2563" width="10.7109375" customWidth="1"/>
    <col min="2568" max="2571" width="12.7109375" customWidth="1"/>
    <col min="2817" max="2817" width="40.7109375" customWidth="1"/>
    <col min="2818" max="2819" width="10.7109375" customWidth="1"/>
    <col min="2824" max="2827" width="12.7109375" customWidth="1"/>
    <col min="3073" max="3073" width="40.7109375" customWidth="1"/>
    <col min="3074" max="3075" width="10.7109375" customWidth="1"/>
    <col min="3080" max="3083" width="12.7109375" customWidth="1"/>
    <col min="3329" max="3329" width="40.7109375" customWidth="1"/>
    <col min="3330" max="3331" width="10.7109375" customWidth="1"/>
    <col min="3336" max="3339" width="12.7109375" customWidth="1"/>
    <col min="3585" max="3585" width="40.7109375" customWidth="1"/>
    <col min="3586" max="3587" width="10.7109375" customWidth="1"/>
    <col min="3592" max="3595" width="12.7109375" customWidth="1"/>
    <col min="3841" max="3841" width="40.7109375" customWidth="1"/>
    <col min="3842" max="3843" width="10.7109375" customWidth="1"/>
    <col min="3848" max="3851" width="12.7109375" customWidth="1"/>
    <col min="4097" max="4097" width="40.7109375" customWidth="1"/>
    <col min="4098" max="4099" width="10.7109375" customWidth="1"/>
    <col min="4104" max="4107" width="12.7109375" customWidth="1"/>
    <col min="4353" max="4353" width="40.7109375" customWidth="1"/>
    <col min="4354" max="4355" width="10.7109375" customWidth="1"/>
    <col min="4360" max="4363" width="12.7109375" customWidth="1"/>
    <col min="4609" max="4609" width="40.7109375" customWidth="1"/>
    <col min="4610" max="4611" width="10.7109375" customWidth="1"/>
    <col min="4616" max="4619" width="12.7109375" customWidth="1"/>
    <col min="4865" max="4865" width="40.7109375" customWidth="1"/>
    <col min="4866" max="4867" width="10.7109375" customWidth="1"/>
    <col min="4872" max="4875" width="12.7109375" customWidth="1"/>
    <col min="5121" max="5121" width="40.7109375" customWidth="1"/>
    <col min="5122" max="5123" width="10.7109375" customWidth="1"/>
    <col min="5128" max="5131" width="12.7109375" customWidth="1"/>
    <col min="5377" max="5377" width="40.7109375" customWidth="1"/>
    <col min="5378" max="5379" width="10.7109375" customWidth="1"/>
    <col min="5384" max="5387" width="12.7109375" customWidth="1"/>
    <col min="5633" max="5633" width="40.7109375" customWidth="1"/>
    <col min="5634" max="5635" width="10.7109375" customWidth="1"/>
    <col min="5640" max="5643" width="12.7109375" customWidth="1"/>
    <col min="5889" max="5889" width="40.7109375" customWidth="1"/>
    <col min="5890" max="5891" width="10.7109375" customWidth="1"/>
    <col min="5896" max="5899" width="12.7109375" customWidth="1"/>
    <col min="6145" max="6145" width="40.7109375" customWidth="1"/>
    <col min="6146" max="6147" width="10.7109375" customWidth="1"/>
    <col min="6152" max="6155" width="12.7109375" customWidth="1"/>
    <col min="6401" max="6401" width="40.7109375" customWidth="1"/>
    <col min="6402" max="6403" width="10.7109375" customWidth="1"/>
    <col min="6408" max="6411" width="12.7109375" customWidth="1"/>
    <col min="6657" max="6657" width="40.7109375" customWidth="1"/>
    <col min="6658" max="6659" width="10.7109375" customWidth="1"/>
    <col min="6664" max="6667" width="12.7109375" customWidth="1"/>
    <col min="6913" max="6913" width="40.7109375" customWidth="1"/>
    <col min="6914" max="6915" width="10.7109375" customWidth="1"/>
    <col min="6920" max="6923" width="12.7109375" customWidth="1"/>
    <col min="7169" max="7169" width="40.7109375" customWidth="1"/>
    <col min="7170" max="7171" width="10.7109375" customWidth="1"/>
    <col min="7176" max="7179" width="12.7109375" customWidth="1"/>
    <col min="7425" max="7425" width="40.7109375" customWidth="1"/>
    <col min="7426" max="7427" width="10.7109375" customWidth="1"/>
    <col min="7432" max="7435" width="12.7109375" customWidth="1"/>
    <col min="7681" max="7681" width="40.7109375" customWidth="1"/>
    <col min="7682" max="7683" width="10.7109375" customWidth="1"/>
    <col min="7688" max="7691" width="12.7109375" customWidth="1"/>
    <col min="7937" max="7937" width="40.7109375" customWidth="1"/>
    <col min="7938" max="7939" width="10.7109375" customWidth="1"/>
    <col min="7944" max="7947" width="12.7109375" customWidth="1"/>
    <col min="8193" max="8193" width="40.7109375" customWidth="1"/>
    <col min="8194" max="8195" width="10.7109375" customWidth="1"/>
    <col min="8200" max="8203" width="12.7109375" customWidth="1"/>
    <col min="8449" max="8449" width="40.7109375" customWidth="1"/>
    <col min="8450" max="8451" width="10.7109375" customWidth="1"/>
    <col min="8456" max="8459" width="12.7109375" customWidth="1"/>
    <col min="8705" max="8705" width="40.7109375" customWidth="1"/>
    <col min="8706" max="8707" width="10.7109375" customWidth="1"/>
    <col min="8712" max="8715" width="12.7109375" customWidth="1"/>
    <col min="8961" max="8961" width="40.7109375" customWidth="1"/>
    <col min="8962" max="8963" width="10.7109375" customWidth="1"/>
    <col min="8968" max="8971" width="12.7109375" customWidth="1"/>
    <col min="9217" max="9217" width="40.7109375" customWidth="1"/>
    <col min="9218" max="9219" width="10.7109375" customWidth="1"/>
    <col min="9224" max="9227" width="12.7109375" customWidth="1"/>
    <col min="9473" max="9473" width="40.7109375" customWidth="1"/>
    <col min="9474" max="9475" width="10.7109375" customWidth="1"/>
    <col min="9480" max="9483" width="12.7109375" customWidth="1"/>
    <col min="9729" max="9729" width="40.7109375" customWidth="1"/>
    <col min="9730" max="9731" width="10.7109375" customWidth="1"/>
    <col min="9736" max="9739" width="12.7109375" customWidth="1"/>
    <col min="9985" max="9985" width="40.7109375" customWidth="1"/>
    <col min="9986" max="9987" width="10.7109375" customWidth="1"/>
    <col min="9992" max="9995" width="12.7109375" customWidth="1"/>
    <col min="10241" max="10241" width="40.7109375" customWidth="1"/>
    <col min="10242" max="10243" width="10.7109375" customWidth="1"/>
    <col min="10248" max="10251" width="12.7109375" customWidth="1"/>
    <col min="10497" max="10497" width="40.7109375" customWidth="1"/>
    <col min="10498" max="10499" width="10.7109375" customWidth="1"/>
    <col min="10504" max="10507" width="12.7109375" customWidth="1"/>
    <col min="10753" max="10753" width="40.7109375" customWidth="1"/>
    <col min="10754" max="10755" width="10.7109375" customWidth="1"/>
    <col min="10760" max="10763" width="12.7109375" customWidth="1"/>
    <col min="11009" max="11009" width="40.7109375" customWidth="1"/>
    <col min="11010" max="11011" width="10.7109375" customWidth="1"/>
    <col min="11016" max="11019" width="12.7109375" customWidth="1"/>
    <col min="11265" max="11265" width="40.7109375" customWidth="1"/>
    <col min="11266" max="11267" width="10.7109375" customWidth="1"/>
    <col min="11272" max="11275" width="12.7109375" customWidth="1"/>
    <col min="11521" max="11521" width="40.7109375" customWidth="1"/>
    <col min="11522" max="11523" width="10.7109375" customWidth="1"/>
    <col min="11528" max="11531" width="12.7109375" customWidth="1"/>
    <col min="11777" max="11777" width="40.7109375" customWidth="1"/>
    <col min="11778" max="11779" width="10.7109375" customWidth="1"/>
    <col min="11784" max="11787" width="12.7109375" customWidth="1"/>
    <col min="12033" max="12033" width="40.7109375" customWidth="1"/>
    <col min="12034" max="12035" width="10.7109375" customWidth="1"/>
    <col min="12040" max="12043" width="12.7109375" customWidth="1"/>
    <col min="12289" max="12289" width="40.7109375" customWidth="1"/>
    <col min="12290" max="12291" width="10.7109375" customWidth="1"/>
    <col min="12296" max="12299" width="12.7109375" customWidth="1"/>
    <col min="12545" max="12545" width="40.7109375" customWidth="1"/>
    <col min="12546" max="12547" width="10.7109375" customWidth="1"/>
    <col min="12552" max="12555" width="12.7109375" customWidth="1"/>
    <col min="12801" max="12801" width="40.7109375" customWidth="1"/>
    <col min="12802" max="12803" width="10.7109375" customWidth="1"/>
    <col min="12808" max="12811" width="12.7109375" customWidth="1"/>
    <col min="13057" max="13057" width="40.7109375" customWidth="1"/>
    <col min="13058" max="13059" width="10.7109375" customWidth="1"/>
    <col min="13064" max="13067" width="12.7109375" customWidth="1"/>
    <col min="13313" max="13313" width="40.7109375" customWidth="1"/>
    <col min="13314" max="13315" width="10.7109375" customWidth="1"/>
    <col min="13320" max="13323" width="12.7109375" customWidth="1"/>
    <col min="13569" max="13569" width="40.7109375" customWidth="1"/>
    <col min="13570" max="13571" width="10.7109375" customWidth="1"/>
    <col min="13576" max="13579" width="12.7109375" customWidth="1"/>
    <col min="13825" max="13825" width="40.7109375" customWidth="1"/>
    <col min="13826" max="13827" width="10.7109375" customWidth="1"/>
    <col min="13832" max="13835" width="12.7109375" customWidth="1"/>
    <col min="14081" max="14081" width="40.7109375" customWidth="1"/>
    <col min="14082" max="14083" width="10.7109375" customWidth="1"/>
    <col min="14088" max="14091" width="12.7109375" customWidth="1"/>
    <col min="14337" max="14337" width="40.7109375" customWidth="1"/>
    <col min="14338" max="14339" width="10.7109375" customWidth="1"/>
    <col min="14344" max="14347" width="12.7109375" customWidth="1"/>
    <col min="14593" max="14593" width="40.7109375" customWidth="1"/>
    <col min="14594" max="14595" width="10.7109375" customWidth="1"/>
    <col min="14600" max="14603" width="12.7109375" customWidth="1"/>
    <col min="14849" max="14849" width="40.7109375" customWidth="1"/>
    <col min="14850" max="14851" width="10.7109375" customWidth="1"/>
    <col min="14856" max="14859" width="12.7109375" customWidth="1"/>
    <col min="15105" max="15105" width="40.7109375" customWidth="1"/>
    <col min="15106" max="15107" width="10.7109375" customWidth="1"/>
    <col min="15112" max="15115" width="12.7109375" customWidth="1"/>
    <col min="15361" max="15361" width="40.7109375" customWidth="1"/>
    <col min="15362" max="15363" width="10.7109375" customWidth="1"/>
    <col min="15368" max="15371" width="12.7109375" customWidth="1"/>
    <col min="15617" max="15617" width="40.7109375" customWidth="1"/>
    <col min="15618" max="15619" width="10.7109375" customWidth="1"/>
    <col min="15624" max="15627" width="12.7109375" customWidth="1"/>
    <col min="15873" max="15873" width="40.7109375" customWidth="1"/>
    <col min="15874" max="15875" width="10.7109375" customWidth="1"/>
    <col min="15880" max="15883" width="12.7109375" customWidth="1"/>
    <col min="16129" max="16129" width="40.7109375" customWidth="1"/>
    <col min="16130" max="16131" width="10.7109375" customWidth="1"/>
    <col min="16136" max="16139" width="12.7109375" customWidth="1"/>
  </cols>
  <sheetData>
    <row r="1" spans="1:49" x14ac:dyDescent="0.2">
      <c r="A1" t="s">
        <v>50</v>
      </c>
      <c r="L1" s="105"/>
      <c r="M1" s="105"/>
      <c r="N1" s="105"/>
      <c r="AS1">
        <v>50</v>
      </c>
      <c r="AW1">
        <v>3200</v>
      </c>
    </row>
    <row r="2" spans="1:49" x14ac:dyDescent="0.2">
      <c r="L2" s="105"/>
      <c r="M2" s="105"/>
      <c r="N2" s="105"/>
      <c r="AS2">
        <v>50</v>
      </c>
      <c r="AW2">
        <v>3200</v>
      </c>
    </row>
    <row r="3" spans="1:49" x14ac:dyDescent="0.2">
      <c r="A3" t="s">
        <v>51</v>
      </c>
      <c r="B3" t="s">
        <v>131</v>
      </c>
      <c r="G3" s="137">
        <v>0</v>
      </c>
      <c r="H3" s="105" t="s">
        <v>79</v>
      </c>
      <c r="I3" s="105" t="s">
        <v>119</v>
      </c>
      <c r="J3" s="105" t="s">
        <v>120</v>
      </c>
      <c r="K3" s="105" t="s">
        <v>121</v>
      </c>
      <c r="L3" s="105" t="s">
        <v>122</v>
      </c>
      <c r="M3" s="105" t="s">
        <v>112</v>
      </c>
      <c r="N3" s="105" t="s">
        <v>114</v>
      </c>
      <c r="AS3">
        <v>6.9476609541454382</v>
      </c>
    </row>
    <row r="4" spans="1:49" x14ac:dyDescent="0.2">
      <c r="A4" t="s">
        <v>39</v>
      </c>
      <c r="B4" s="145">
        <v>3393</v>
      </c>
      <c r="C4" t="s">
        <v>52</v>
      </c>
      <c r="F4" s="138"/>
      <c r="G4">
        <v>1</v>
      </c>
      <c r="H4" s="139">
        <v>8.5500000000000007</v>
      </c>
      <c r="I4" s="149">
        <v>816.93026390714635</v>
      </c>
      <c r="J4" s="121">
        <f>I4/($B$7-$K$42)*$B$7/K$41</f>
        <v>1089.2403518761951</v>
      </c>
      <c r="K4" s="115"/>
      <c r="L4" s="115"/>
      <c r="M4" s="115"/>
      <c r="N4" s="115"/>
      <c r="AS4">
        <v>6.9476609541454382</v>
      </c>
    </row>
    <row r="5" spans="1:49" x14ac:dyDescent="0.2">
      <c r="G5">
        <v>2</v>
      </c>
      <c r="H5" s="140">
        <v>9</v>
      </c>
      <c r="I5" s="149">
        <v>843.15519906425732</v>
      </c>
      <c r="J5" s="121">
        <f t="shared" ref="J5:J18" si="0">I5/($B$7-$K$42)*$B$7/K$40</f>
        <v>1011.7862388771089</v>
      </c>
      <c r="K5" s="115"/>
      <c r="L5" s="115"/>
      <c r="M5" s="115"/>
      <c r="N5" s="115"/>
    </row>
    <row r="6" spans="1:49" x14ac:dyDescent="0.2">
      <c r="A6" t="s">
        <v>53</v>
      </c>
      <c r="B6">
        <v>2750</v>
      </c>
      <c r="C6" t="s">
        <v>54</v>
      </c>
      <c r="G6">
        <v>3</v>
      </c>
      <c r="H6" s="140">
        <v>9.5</v>
      </c>
      <c r="I6" s="149">
        <v>872.29401590549185</v>
      </c>
      <c r="J6" s="121">
        <f t="shared" si="0"/>
        <v>1046.7528190865903</v>
      </c>
      <c r="K6" s="115"/>
      <c r="L6" s="115"/>
      <c r="M6" s="115"/>
      <c r="N6" s="115"/>
    </row>
    <row r="7" spans="1:49" x14ac:dyDescent="0.2">
      <c r="A7" t="s">
        <v>55</v>
      </c>
      <c r="B7">
        <v>6</v>
      </c>
      <c r="G7">
        <v>4</v>
      </c>
      <c r="H7" s="140">
        <v>10</v>
      </c>
      <c r="I7" s="149">
        <v>901.43283274672626</v>
      </c>
      <c r="J7" s="121">
        <f t="shared" si="0"/>
        <v>1081.7193992960715</v>
      </c>
      <c r="K7" s="115"/>
      <c r="L7" s="115"/>
      <c r="M7" s="115"/>
      <c r="N7" s="115"/>
    </row>
    <row r="8" spans="1:49" x14ac:dyDescent="0.2">
      <c r="G8">
        <v>5</v>
      </c>
      <c r="H8" s="140">
        <v>10.5</v>
      </c>
      <c r="I8" s="149">
        <v>930.57164958796079</v>
      </c>
      <c r="J8" s="121">
        <f t="shared" si="0"/>
        <v>1116.685979505553</v>
      </c>
      <c r="K8" s="115"/>
      <c r="L8" s="115"/>
      <c r="M8" s="115"/>
      <c r="N8" s="115"/>
    </row>
    <row r="9" spans="1:49" x14ac:dyDescent="0.2">
      <c r="A9" t="s">
        <v>56</v>
      </c>
      <c r="B9">
        <v>72.12</v>
      </c>
      <c r="C9" t="s">
        <v>57</v>
      </c>
      <c r="F9" s="138"/>
      <c r="G9">
        <v>6</v>
      </c>
      <c r="H9" s="140">
        <v>11</v>
      </c>
      <c r="I9" s="149">
        <v>959.71046642919532</v>
      </c>
      <c r="J9" s="121">
        <f t="shared" si="0"/>
        <v>1151.6525597150344</v>
      </c>
      <c r="K9" s="115"/>
      <c r="L9" s="115"/>
      <c r="M9" s="115"/>
      <c r="N9" s="115"/>
    </row>
    <row r="10" spans="1:49" x14ac:dyDescent="0.2">
      <c r="A10" t="s">
        <v>58</v>
      </c>
      <c r="B10">
        <v>1.5</v>
      </c>
      <c r="G10">
        <v>7</v>
      </c>
      <c r="H10" s="140">
        <v>11.5</v>
      </c>
      <c r="I10" s="149">
        <v>988.84928327042985</v>
      </c>
      <c r="J10" s="121">
        <f t="shared" si="0"/>
        <v>1186.6191399245158</v>
      </c>
      <c r="K10" s="115"/>
      <c r="L10" s="115"/>
      <c r="M10" s="115"/>
      <c r="N10" s="115"/>
    </row>
    <row r="11" spans="1:49" x14ac:dyDescent="0.2">
      <c r="G11">
        <v>8</v>
      </c>
      <c r="H11" s="140">
        <v>12</v>
      </c>
      <c r="I11" s="149">
        <v>1017.9881001116643</v>
      </c>
      <c r="J11" s="121">
        <f t="shared" si="0"/>
        <v>1221.585720133997</v>
      </c>
      <c r="K11" s="115"/>
      <c r="L11" s="115"/>
      <c r="M11" s="115"/>
      <c r="N11" s="115"/>
    </row>
    <row r="12" spans="1:49" x14ac:dyDescent="0.2">
      <c r="A12" t="s">
        <v>59</v>
      </c>
      <c r="B12" s="145">
        <v>1</v>
      </c>
      <c r="F12" s="138"/>
      <c r="G12">
        <v>9</v>
      </c>
      <c r="H12" s="140">
        <v>12.5</v>
      </c>
      <c r="I12" s="149">
        <v>1047.1269169528987</v>
      </c>
      <c r="J12" s="121">
        <f t="shared" si="0"/>
        <v>1256.5523003434782</v>
      </c>
      <c r="K12" s="115"/>
      <c r="L12" s="115"/>
      <c r="M12" s="115"/>
      <c r="N12" s="115"/>
    </row>
    <row r="13" spans="1:49" x14ac:dyDescent="0.2">
      <c r="A13" t="s">
        <v>60</v>
      </c>
      <c r="B13" s="145">
        <v>16</v>
      </c>
      <c r="G13">
        <v>10</v>
      </c>
      <c r="H13" s="140">
        <v>13</v>
      </c>
      <c r="I13" s="149">
        <v>1076.2657337941332</v>
      </c>
      <c r="J13" s="121">
        <f t="shared" si="0"/>
        <v>1291.5188805529597</v>
      </c>
      <c r="K13" s="115"/>
      <c r="L13" s="115"/>
      <c r="M13" s="115"/>
      <c r="N13" s="115"/>
    </row>
    <row r="14" spans="1:49" x14ac:dyDescent="0.2">
      <c r="A14" t="s">
        <v>61</v>
      </c>
      <c r="B14" s="145">
        <v>1</v>
      </c>
      <c r="G14">
        <v>11</v>
      </c>
      <c r="H14" s="140">
        <v>13.5</v>
      </c>
      <c r="I14" s="149">
        <v>1105.4045506353677</v>
      </c>
      <c r="J14" s="121">
        <f t="shared" si="0"/>
        <v>1326.4854607624411</v>
      </c>
      <c r="K14" s="115"/>
      <c r="L14" s="115"/>
      <c r="M14" s="115"/>
      <c r="N14" s="115"/>
    </row>
    <row r="15" spans="1:49" x14ac:dyDescent="0.2">
      <c r="B15" s="145"/>
      <c r="G15">
        <v>12</v>
      </c>
      <c r="H15" s="140">
        <v>14</v>
      </c>
      <c r="I15" s="149">
        <v>1134.5433674766023</v>
      </c>
      <c r="J15" s="121">
        <f t="shared" si="0"/>
        <v>1361.4520409719225</v>
      </c>
      <c r="K15" s="115"/>
      <c r="L15" s="115"/>
      <c r="M15" s="115"/>
      <c r="N15" s="115"/>
    </row>
    <row r="16" spans="1:49" x14ac:dyDescent="0.2">
      <c r="A16" t="s">
        <v>62</v>
      </c>
      <c r="B16" s="145">
        <v>1</v>
      </c>
      <c r="G16">
        <v>13</v>
      </c>
      <c r="H16" s="140">
        <v>14.5</v>
      </c>
      <c r="I16" s="149">
        <v>1163.6821843178368</v>
      </c>
      <c r="J16" s="121">
        <f t="shared" si="0"/>
        <v>1396.418621181404</v>
      </c>
      <c r="K16" s="115"/>
      <c r="L16" s="115"/>
      <c r="M16" s="115"/>
      <c r="N16" s="115"/>
    </row>
    <row r="17" spans="1:14" x14ac:dyDescent="0.2">
      <c r="A17" t="s">
        <v>63</v>
      </c>
      <c r="B17" s="145">
        <v>5</v>
      </c>
      <c r="G17">
        <v>14</v>
      </c>
      <c r="H17" s="140">
        <v>15</v>
      </c>
      <c r="I17" s="149">
        <v>1192.8210011590713</v>
      </c>
      <c r="J17" s="121">
        <f t="shared" si="0"/>
        <v>1431.3852013908854</v>
      </c>
      <c r="K17" s="115"/>
      <c r="L17" s="115"/>
      <c r="M17" s="115"/>
      <c r="N17" s="115"/>
    </row>
    <row r="18" spans="1:14" x14ac:dyDescent="0.2">
      <c r="B18" s="99"/>
      <c r="G18">
        <v>15</v>
      </c>
      <c r="H18" s="140">
        <v>15.5</v>
      </c>
      <c r="I18" s="149">
        <v>1221.9598180003059</v>
      </c>
      <c r="J18" s="121">
        <f t="shared" si="0"/>
        <v>1466.3517816003668</v>
      </c>
      <c r="K18" s="115"/>
      <c r="L18" s="115"/>
      <c r="M18" s="115"/>
      <c r="N18" s="115"/>
    </row>
    <row r="19" spans="1:14" x14ac:dyDescent="0.2">
      <c r="A19" t="s">
        <v>64</v>
      </c>
      <c r="B19">
        <v>3000</v>
      </c>
      <c r="C19" t="s">
        <v>65</v>
      </c>
      <c r="G19">
        <v>16</v>
      </c>
      <c r="H19" s="140">
        <v>16</v>
      </c>
      <c r="I19" s="149">
        <v>1251.0986348415404</v>
      </c>
      <c r="J19" s="121">
        <f>I19/($B$7-$K$42)*$B$7/K$40</f>
        <v>1501.3183618098483</v>
      </c>
      <c r="K19" s="115"/>
      <c r="L19" s="115"/>
      <c r="M19" s="115"/>
      <c r="N19" s="115"/>
    </row>
    <row r="20" spans="1:14" x14ac:dyDescent="0.2">
      <c r="A20" t="s">
        <v>66</v>
      </c>
      <c r="B20">
        <v>1000</v>
      </c>
      <c r="C20" t="s">
        <v>54</v>
      </c>
      <c r="G20">
        <v>17</v>
      </c>
      <c r="H20" s="140"/>
      <c r="I20" s="140"/>
      <c r="J20" s="140"/>
      <c r="K20" s="115"/>
      <c r="L20" s="115"/>
      <c r="M20" s="115"/>
      <c r="N20" s="115"/>
    </row>
    <row r="21" spans="1:14" x14ac:dyDescent="0.2">
      <c r="G21">
        <v>18</v>
      </c>
      <c r="H21" s="140"/>
      <c r="I21" s="140"/>
      <c r="J21" s="140"/>
      <c r="K21" s="115"/>
      <c r="L21" s="115"/>
      <c r="M21" s="115"/>
      <c r="N21" s="115"/>
    </row>
    <row r="22" spans="1:14" x14ac:dyDescent="0.2">
      <c r="A22" t="s">
        <v>67</v>
      </c>
      <c r="B22">
        <v>2</v>
      </c>
      <c r="C22" t="s">
        <v>68</v>
      </c>
      <c r="G22">
        <v>19</v>
      </c>
      <c r="H22" s="140"/>
      <c r="I22" s="140"/>
      <c r="J22" s="140"/>
      <c r="K22" s="121"/>
      <c r="L22" s="115"/>
      <c r="M22" s="115"/>
      <c r="N22" s="115"/>
    </row>
    <row r="23" spans="1:14" x14ac:dyDescent="0.2">
      <c r="A23" t="s">
        <v>69</v>
      </c>
      <c r="B23">
        <v>9</v>
      </c>
      <c r="C23" t="s">
        <v>68</v>
      </c>
      <c r="H23" s="105" t="s">
        <v>80</v>
      </c>
      <c r="I23" s="105">
        <v>30</v>
      </c>
      <c r="J23" s="105" t="s">
        <v>54</v>
      </c>
      <c r="K23" s="121"/>
      <c r="L23" s="121"/>
      <c r="N23" s="115"/>
    </row>
    <row r="24" spans="1:14" x14ac:dyDescent="0.2">
      <c r="A24" t="s">
        <v>75</v>
      </c>
      <c r="B24">
        <v>4</v>
      </c>
      <c r="C24" t="s">
        <v>68</v>
      </c>
      <c r="K24" s="121"/>
    </row>
    <row r="25" spans="1:14" x14ac:dyDescent="0.2">
      <c r="A25" t="s">
        <v>76</v>
      </c>
      <c r="B25">
        <v>9</v>
      </c>
      <c r="C25" t="s">
        <v>68</v>
      </c>
      <c r="H25" s="105" t="s">
        <v>87</v>
      </c>
      <c r="I25" s="105" t="s">
        <v>90</v>
      </c>
      <c r="J25" s="105" t="s">
        <v>89</v>
      </c>
      <c r="K25" s="105" t="s">
        <v>123</v>
      </c>
    </row>
    <row r="26" spans="1:14" x14ac:dyDescent="0.2">
      <c r="A26" t="s">
        <v>70</v>
      </c>
      <c r="B26">
        <v>2</v>
      </c>
      <c r="C26" t="s">
        <v>68</v>
      </c>
      <c r="F26" s="141"/>
      <c r="G26">
        <v>1</v>
      </c>
      <c r="H26" s="105" t="s">
        <v>88</v>
      </c>
      <c r="I26" s="150">
        <v>0.89</v>
      </c>
      <c r="J26" s="151" t="s">
        <v>135</v>
      </c>
      <c r="K26" s="151">
        <v>5.3</v>
      </c>
    </row>
    <row r="27" spans="1:14" x14ac:dyDescent="0.2">
      <c r="A27" t="s">
        <v>71</v>
      </c>
      <c r="B27">
        <v>9</v>
      </c>
      <c r="C27" t="s">
        <v>68</v>
      </c>
      <c r="G27">
        <v>2</v>
      </c>
      <c r="H27" s="105" t="s">
        <v>107</v>
      </c>
      <c r="I27" s="150">
        <v>0.7</v>
      </c>
      <c r="J27" s="151" t="s">
        <v>132</v>
      </c>
      <c r="K27" s="151">
        <v>3</v>
      </c>
    </row>
    <row r="28" spans="1:14" x14ac:dyDescent="0.2">
      <c r="A28" t="s">
        <v>77</v>
      </c>
      <c r="B28">
        <v>4</v>
      </c>
      <c r="C28" t="s">
        <v>68</v>
      </c>
      <c r="G28">
        <v>3</v>
      </c>
      <c r="H28" s="105" t="s">
        <v>108</v>
      </c>
      <c r="I28" s="150">
        <v>0.41</v>
      </c>
      <c r="J28" s="151" t="s">
        <v>136</v>
      </c>
      <c r="K28" s="151">
        <v>1</v>
      </c>
    </row>
    <row r="29" spans="1:14" x14ac:dyDescent="0.2">
      <c r="A29" t="s">
        <v>78</v>
      </c>
      <c r="B29">
        <v>9</v>
      </c>
      <c r="C29" t="s">
        <v>68</v>
      </c>
      <c r="G29">
        <v>4</v>
      </c>
      <c r="H29" s="105" t="s">
        <v>109</v>
      </c>
      <c r="I29" s="150">
        <v>2.92</v>
      </c>
      <c r="J29" s="151" t="s">
        <v>137</v>
      </c>
      <c r="K29" s="151">
        <v>0.3</v>
      </c>
    </row>
    <row r="30" spans="1:14" x14ac:dyDescent="0.2">
      <c r="G30">
        <v>5</v>
      </c>
      <c r="H30" s="105" t="s">
        <v>110</v>
      </c>
      <c r="I30" s="150">
        <v>1.61</v>
      </c>
      <c r="J30" s="151" t="s">
        <v>138</v>
      </c>
      <c r="K30" s="151">
        <v>0.3</v>
      </c>
    </row>
    <row r="31" spans="1:14" x14ac:dyDescent="0.2">
      <c r="A31" t="s">
        <v>72</v>
      </c>
      <c r="B31">
        <f>B9/B10</f>
        <v>48.080000000000005</v>
      </c>
      <c r="C31" t="s">
        <v>57</v>
      </c>
      <c r="G31">
        <v>6</v>
      </c>
      <c r="I31" s="116"/>
      <c r="J31" s="106"/>
      <c r="K31" s="106"/>
    </row>
    <row r="32" spans="1:14" x14ac:dyDescent="0.2">
      <c r="A32" t="s">
        <v>73</v>
      </c>
      <c r="B32">
        <v>1.43</v>
      </c>
      <c r="F32" s="141"/>
      <c r="G32">
        <v>7</v>
      </c>
      <c r="I32" s="116"/>
      <c r="J32" s="106"/>
      <c r="K32" s="106"/>
    </row>
    <row r="33" spans="1:16" x14ac:dyDescent="0.2">
      <c r="A33" t="s">
        <v>74</v>
      </c>
      <c r="B33">
        <f>E33+F33-D33</f>
        <v>21.599999999999994</v>
      </c>
      <c r="C33" t="s">
        <v>52</v>
      </c>
      <c r="D33" s="146">
        <v>105.4</v>
      </c>
      <c r="E33" s="142">
        <v>80</v>
      </c>
      <c r="F33" s="142">
        <f>51-4</f>
        <v>47</v>
      </c>
      <c r="G33" s="142">
        <v>8</v>
      </c>
      <c r="I33" s="116"/>
      <c r="J33" s="106"/>
      <c r="K33" s="106"/>
    </row>
    <row r="34" spans="1:16" x14ac:dyDescent="0.2">
      <c r="G34">
        <v>9</v>
      </c>
      <c r="I34" s="116"/>
      <c r="J34" s="106"/>
      <c r="K34" s="106"/>
    </row>
    <row r="35" spans="1:16" x14ac:dyDescent="0.2">
      <c r="A35" t="s">
        <v>106</v>
      </c>
      <c r="B35">
        <v>800</v>
      </c>
      <c r="C35" t="s">
        <v>54</v>
      </c>
      <c r="G35">
        <v>10</v>
      </c>
      <c r="I35" s="116"/>
      <c r="J35" s="106"/>
      <c r="K35" s="106"/>
    </row>
    <row r="36" spans="1:16" x14ac:dyDescent="0.2">
      <c r="G36">
        <v>11</v>
      </c>
      <c r="I36" s="116"/>
      <c r="J36" s="106"/>
      <c r="K36" s="106"/>
    </row>
    <row r="37" spans="1:16" x14ac:dyDescent="0.2">
      <c r="A37" t="s">
        <v>115</v>
      </c>
      <c r="B37">
        <f>M40</f>
        <v>1699</v>
      </c>
      <c r="D37" s="142"/>
      <c r="E37" s="143"/>
      <c r="G37">
        <v>12</v>
      </c>
      <c r="I37" s="116"/>
      <c r="J37" s="106"/>
    </row>
    <row r="38" spans="1:16" x14ac:dyDescent="0.2">
      <c r="A38" s="117"/>
      <c r="C38" s="118"/>
      <c r="D38" s="118"/>
      <c r="K38"/>
      <c r="M38" s="105"/>
      <c r="N38" s="105"/>
      <c r="O38" s="105"/>
    </row>
    <row r="39" spans="1:16" x14ac:dyDescent="0.2">
      <c r="A39" s="117"/>
      <c r="B39" s="120"/>
      <c r="C39" s="120"/>
      <c r="D39" s="120"/>
      <c r="K39"/>
      <c r="L39" t="s">
        <v>113</v>
      </c>
      <c r="M39" s="105" t="s">
        <v>133</v>
      </c>
      <c r="N39" s="105" t="s">
        <v>134</v>
      </c>
      <c r="P39">
        <v>8</v>
      </c>
    </row>
    <row r="40" spans="1:16" x14ac:dyDescent="0.2">
      <c r="A40" s="117"/>
      <c r="C40" s="118"/>
      <c r="D40" s="118"/>
      <c r="I40" s="115"/>
      <c r="J40" s="115" t="s">
        <v>101</v>
      </c>
      <c r="K40">
        <v>1</v>
      </c>
      <c r="L40">
        <f>B6*K41</f>
        <v>2475</v>
      </c>
      <c r="M40" s="147">
        <v>1699</v>
      </c>
      <c r="N40" s="148">
        <f>M40/K40/K41</f>
        <v>1887.7777777777778</v>
      </c>
      <c r="O40">
        <v>16</v>
      </c>
      <c r="P40">
        <v>16</v>
      </c>
    </row>
    <row r="41" spans="1:16" x14ac:dyDescent="0.2">
      <c r="A41" s="117"/>
      <c r="B41" s="118"/>
      <c r="C41" s="118"/>
      <c r="D41" s="118"/>
      <c r="I41" s="115"/>
      <c r="J41" s="115" t="s">
        <v>102</v>
      </c>
      <c r="K41">
        <v>0.9</v>
      </c>
      <c r="L41">
        <f>L40</f>
        <v>2475</v>
      </c>
      <c r="M41" s="147">
        <v>1606.7</v>
      </c>
      <c r="N41" s="148">
        <f>M41/K41/K42</f>
        <v>1785.2222222222222</v>
      </c>
      <c r="O41">
        <v>9</v>
      </c>
    </row>
    <row r="42" spans="1:16" x14ac:dyDescent="0.2">
      <c r="A42" s="117"/>
      <c r="B42" s="119"/>
      <c r="C42" s="118"/>
      <c r="D42" s="118"/>
      <c r="I42" s="115"/>
      <c r="J42" s="115" t="s">
        <v>103</v>
      </c>
      <c r="K42">
        <v>1</v>
      </c>
    </row>
    <row r="43" spans="1:16" x14ac:dyDescent="0.2">
      <c r="A43" s="117"/>
      <c r="B43" s="119"/>
      <c r="C43" s="118"/>
      <c r="D43" s="118"/>
      <c r="E43" s="118"/>
      <c r="I43" s="115"/>
      <c r="J43" s="115"/>
      <c r="K43" s="115"/>
    </row>
    <row r="44" spans="1:16" x14ac:dyDescent="0.2">
      <c r="A44" s="117"/>
      <c r="B44" s="119"/>
      <c r="C44" s="118"/>
      <c r="D44" s="118"/>
      <c r="I44" s="115"/>
      <c r="J44" s="115"/>
      <c r="K44" s="115"/>
    </row>
    <row r="45" spans="1:16" x14ac:dyDescent="0.2">
      <c r="C45" s="118"/>
      <c r="D45" s="118"/>
      <c r="I45" s="121"/>
      <c r="J45" s="121"/>
      <c r="K45" s="121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1111125"/>
  <dimension ref="A1:HH504"/>
  <sheetViews>
    <sheetView zoomScale="70" zoomScaleNormal="70" zoomScaleSheetLayoutView="25" workbookViewId="0"/>
  </sheetViews>
  <sheetFormatPr defaultColWidth="6.7109375" defaultRowHeight="12" x14ac:dyDescent="0.2"/>
  <cols>
    <col min="1" max="1" width="10.7109375" style="11" customWidth="1"/>
    <col min="2" max="2" width="9.42578125" style="11" customWidth="1"/>
    <col min="3" max="4" width="9.7109375" style="11" customWidth="1"/>
    <col min="5" max="5" width="10" style="11" customWidth="1"/>
    <col min="6" max="6" width="9.7109375" style="11" customWidth="1"/>
    <col min="7" max="7" width="10.140625" style="11" customWidth="1"/>
    <col min="8" max="8" width="10" style="11" customWidth="1"/>
    <col min="9" max="9" width="10.140625" style="11" customWidth="1"/>
    <col min="10" max="10" width="10" style="11" customWidth="1"/>
    <col min="11" max="13" width="10.7109375" style="12" customWidth="1"/>
    <col min="14" max="14" width="0.85546875" style="11" customWidth="1"/>
    <col min="15" max="24" width="10.7109375" style="1" customWidth="1"/>
    <col min="25" max="26" width="2.7109375" style="1" customWidth="1"/>
    <col min="27" max="28" width="10.7109375" style="1" customWidth="1"/>
    <col min="29" max="29" width="8.28515625" style="1" customWidth="1"/>
    <col min="30" max="30" width="13.28515625" style="1" customWidth="1"/>
    <col min="31" max="31" width="8.28515625" style="1" customWidth="1"/>
    <col min="32" max="32" width="13.28515625" style="1" customWidth="1"/>
    <col min="33" max="33" width="8.28515625" style="1" customWidth="1"/>
    <col min="34" max="34" width="13.28515625" style="1" customWidth="1"/>
    <col min="35" max="35" width="8.28515625" style="1" customWidth="1"/>
    <col min="36" max="36" width="13.28515625" style="1" customWidth="1"/>
    <col min="37" max="37" width="0.5703125" style="1" customWidth="1"/>
    <col min="38" max="46" width="7.85546875" style="1" customWidth="1"/>
    <col min="47" max="47" width="8.5703125" style="1" customWidth="1"/>
    <col min="48" max="48" width="8.140625" style="1" customWidth="1"/>
    <col min="49" max="49" width="10" style="1" customWidth="1"/>
    <col min="50" max="50" width="10.85546875" style="1" customWidth="1"/>
    <col min="51" max="52" width="10.5703125" style="1" customWidth="1"/>
    <col min="53" max="53" width="10" style="1" customWidth="1"/>
    <col min="54" max="55" width="10.5703125" style="1" customWidth="1"/>
    <col min="56" max="56" width="10.28515625" style="1" customWidth="1"/>
    <col min="57" max="57" width="11.140625" style="1" customWidth="1"/>
    <col min="58" max="58" width="12.42578125" style="1" customWidth="1"/>
    <col min="59" max="59" width="1.85546875" style="1" customWidth="1"/>
    <col min="60" max="83" width="6.7109375" style="1" customWidth="1"/>
    <col min="84" max="85" width="8.7109375" style="1" customWidth="1"/>
    <col min="86" max="86" width="8.7109375" style="122" customWidth="1"/>
    <col min="87" max="16384" width="6.7109375" style="1"/>
  </cols>
  <sheetData>
    <row r="1" spans="1:86" s="11" customFormat="1" x14ac:dyDescent="0.2">
      <c r="K1" s="12"/>
      <c r="L1" s="12"/>
      <c r="M1" s="12"/>
      <c r="AL1" s="11">
        <v>0</v>
      </c>
      <c r="AM1" s="11">
        <v>2</v>
      </c>
      <c r="AN1" s="11">
        <v>4</v>
      </c>
      <c r="AO1" s="11">
        <v>50</v>
      </c>
      <c r="AP1" s="11">
        <v>-2</v>
      </c>
      <c r="AQ1" s="11">
        <v>-10</v>
      </c>
      <c r="AR1" s="11">
        <v>0</v>
      </c>
      <c r="AS1" s="11">
        <v>2500</v>
      </c>
      <c r="AT1" s="11">
        <v>-4</v>
      </c>
      <c r="AU1" s="11">
        <v>2152</v>
      </c>
      <c r="AX1" s="11" t="s">
        <v>43</v>
      </c>
      <c r="AY1" s="95">
        <v>18.7</v>
      </c>
    </row>
    <row r="2" spans="1:86" s="11" customFormat="1" ht="16.5" x14ac:dyDescent="0.25">
      <c r="A2" s="172" t="s">
        <v>93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5"/>
      <c r="O2" s="172" t="str">
        <f>A2</f>
        <v>Noble Leo Segerius Drillship (Alum) / Riser Analysis Detailed Results</v>
      </c>
      <c r="P2" s="172"/>
      <c r="Q2" s="172"/>
      <c r="R2" s="172"/>
      <c r="S2" s="172"/>
      <c r="T2" s="172"/>
      <c r="U2" s="172"/>
      <c r="V2" s="172"/>
      <c r="W2" s="172"/>
      <c r="X2" s="172"/>
      <c r="Y2" s="71"/>
      <c r="Z2" s="71"/>
      <c r="AA2" s="172" t="str">
        <f>O2</f>
        <v>Noble Leo Segerius Drillship (Alum) / Riser Analysis Detailed Results</v>
      </c>
      <c r="AB2" s="172"/>
      <c r="AC2" s="172"/>
      <c r="AD2" s="172"/>
      <c r="AE2" s="172"/>
      <c r="AF2" s="172"/>
      <c r="AG2" s="172"/>
      <c r="AH2" s="172"/>
      <c r="AI2" s="172"/>
      <c r="AJ2" s="172"/>
      <c r="AL2" s="11">
        <f>B17+100</f>
        <v>968</v>
      </c>
      <c r="AM2" s="11">
        <v>2</v>
      </c>
      <c r="AN2" s="11">
        <v>4</v>
      </c>
      <c r="AO2" s="11">
        <v>50</v>
      </c>
      <c r="AP2" s="11">
        <v>-2</v>
      </c>
      <c r="AQ2" s="11">
        <v>9</v>
      </c>
      <c r="AR2" s="11">
        <v>100</v>
      </c>
      <c r="AS2" s="11">
        <v>2500</v>
      </c>
      <c r="AT2" s="11">
        <v>-4</v>
      </c>
    </row>
    <row r="3" spans="1:86" s="11" customFormat="1" ht="15" x14ac:dyDescent="0.25">
      <c r="A3" s="173" t="s">
        <v>95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5"/>
      <c r="O3" s="173" t="str">
        <f>A3</f>
        <v>3799 ft Water Depth / 1-Year Storm, Wave &amp; Current from S Direction / RWF=1.00,BRF=0.96</v>
      </c>
      <c r="P3" s="173"/>
      <c r="Q3" s="173"/>
      <c r="R3" s="173"/>
      <c r="S3" s="173"/>
      <c r="T3" s="173"/>
      <c r="U3" s="173"/>
      <c r="V3" s="173"/>
      <c r="W3" s="173"/>
      <c r="X3" s="173"/>
      <c r="Y3" s="70"/>
      <c r="Z3" s="70"/>
      <c r="AA3" s="173" t="str">
        <f>O3</f>
        <v>3799 ft Water Depth / 1-Year Storm, Wave &amp; Current from S Direction / RWF=1.00,BRF=0.96</v>
      </c>
      <c r="AB3" s="173"/>
      <c r="AC3" s="173"/>
      <c r="AD3" s="173"/>
      <c r="AE3" s="173"/>
      <c r="AF3" s="173"/>
      <c r="AG3" s="173"/>
      <c r="AH3" s="173"/>
      <c r="AI3" s="173"/>
      <c r="AJ3" s="173"/>
      <c r="AO3" s="11">
        <v>6.9476609541454382</v>
      </c>
      <c r="AQ3" s="11">
        <v>9</v>
      </c>
      <c r="AT3" s="11">
        <v>3799</v>
      </c>
    </row>
    <row r="4" spans="1:86" ht="15" x14ac:dyDescent="0.25">
      <c r="A4" s="173" t="s">
        <v>98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8"/>
      <c r="O4" s="173" t="str">
        <f>A4</f>
        <v>3.13 knot Surface Current /  Mud Weight = 9 PPG / 12 x 80 kips</v>
      </c>
      <c r="P4" s="173"/>
      <c r="Q4" s="173"/>
      <c r="R4" s="173"/>
      <c r="S4" s="173"/>
      <c r="T4" s="173"/>
      <c r="U4" s="173"/>
      <c r="V4" s="173"/>
      <c r="W4" s="173"/>
      <c r="X4" s="173"/>
      <c r="Y4" s="70"/>
      <c r="Z4" s="70"/>
      <c r="AA4" s="173" t="str">
        <f>O4</f>
        <v>3.13 knot Surface Current /  Mud Weight = 9 PPG / 12 x 80 kips</v>
      </c>
      <c r="AB4" s="173"/>
      <c r="AC4" s="173"/>
      <c r="AD4" s="173"/>
      <c r="AE4" s="173"/>
      <c r="AF4" s="173"/>
      <c r="AG4" s="173"/>
      <c r="AH4" s="173"/>
      <c r="AI4" s="173"/>
      <c r="AJ4" s="173"/>
      <c r="AO4" s="11">
        <v>6.9476609541454382</v>
      </c>
      <c r="AQ4" s="11"/>
      <c r="AR4" s="11"/>
      <c r="AS4" s="11"/>
      <c r="AT4" s="11"/>
    </row>
    <row r="5" spans="1:86" ht="4.5" customHeight="1" thickBot="1" x14ac:dyDescent="0.25">
      <c r="J5" s="15"/>
      <c r="K5" s="17"/>
      <c r="L5" s="17"/>
      <c r="M5" s="218"/>
      <c r="N5" s="218"/>
      <c r="O5" s="7"/>
      <c r="P5" s="7"/>
      <c r="Q5" s="3"/>
      <c r="R5" s="7"/>
      <c r="S5" s="7"/>
      <c r="T5" s="7"/>
      <c r="U5" s="7"/>
      <c r="V5" s="7"/>
      <c r="W5" s="7"/>
      <c r="X5" s="3"/>
      <c r="Y5" s="3"/>
      <c r="AO5" s="11"/>
      <c r="AQ5" s="11"/>
      <c r="AR5" s="11"/>
      <c r="AS5" s="11"/>
      <c r="AT5" s="11"/>
    </row>
    <row r="6" spans="1:86" ht="18" customHeight="1" x14ac:dyDescent="0.2">
      <c r="A6" s="174" t="s">
        <v>0</v>
      </c>
      <c r="B6" s="176" t="s">
        <v>15</v>
      </c>
      <c r="C6" s="176" t="s">
        <v>16</v>
      </c>
      <c r="D6" s="181" t="s">
        <v>17</v>
      </c>
      <c r="E6" s="176" t="s">
        <v>12</v>
      </c>
      <c r="F6" s="181" t="s">
        <v>2</v>
      </c>
      <c r="G6" s="176" t="s">
        <v>7</v>
      </c>
      <c r="H6" s="181" t="s">
        <v>6</v>
      </c>
      <c r="I6" s="176" t="s">
        <v>9</v>
      </c>
      <c r="J6" s="181" t="s">
        <v>8</v>
      </c>
      <c r="K6" s="183" t="s">
        <v>13</v>
      </c>
      <c r="L6" s="179" t="s">
        <v>48</v>
      </c>
      <c r="M6" s="183" t="s">
        <v>14</v>
      </c>
      <c r="N6" s="219"/>
      <c r="O6" s="3"/>
      <c r="P6" s="3"/>
      <c r="Q6" s="3"/>
      <c r="R6" s="4"/>
      <c r="S6" s="4"/>
      <c r="T6" s="4"/>
      <c r="U6" s="178"/>
      <c r="V6" s="3"/>
      <c r="W6" s="3"/>
      <c r="X6" s="3"/>
      <c r="Y6" s="3"/>
      <c r="AA6" s="3"/>
      <c r="AB6" s="3"/>
      <c r="AC6" s="3"/>
      <c r="AD6" s="4"/>
      <c r="AE6" s="4"/>
      <c r="AF6" s="4"/>
      <c r="AG6" s="4"/>
      <c r="AH6" s="3"/>
      <c r="AI6" s="3"/>
      <c r="AJ6" s="217"/>
      <c r="AQ6" s="12" t="e">
        <f>MAX(BM50:BM52)</f>
        <v>#N/A</v>
      </c>
      <c r="AR6" s="86">
        <v>312.12533109822908</v>
      </c>
      <c r="AS6" s="89">
        <f>MIN(AU1,BD6*BD7*BE6*AU6*BF6)</f>
        <v>2152</v>
      </c>
      <c r="AT6" s="86">
        <v>10</v>
      </c>
      <c r="AU6" s="11">
        <v>1</v>
      </c>
      <c r="AV6" s="108">
        <f>AR6-50+307-100</f>
        <v>469.12533109822903</v>
      </c>
      <c r="AW6" s="11"/>
      <c r="AX6" s="93" t="s">
        <v>49</v>
      </c>
      <c r="BD6" s="97">
        <v>12</v>
      </c>
      <c r="BE6" s="93">
        <v>0.9</v>
      </c>
      <c r="BF6" s="1">
        <v>1</v>
      </c>
      <c r="CF6" s="192" t="s">
        <v>99</v>
      </c>
      <c r="CG6" s="181" t="s">
        <v>100</v>
      </c>
      <c r="CH6" s="181" t="s">
        <v>111</v>
      </c>
    </row>
    <row r="7" spans="1:86" ht="18" customHeight="1" x14ac:dyDescent="0.2">
      <c r="A7" s="175"/>
      <c r="B7" s="177"/>
      <c r="C7" s="177"/>
      <c r="D7" s="182"/>
      <c r="E7" s="177"/>
      <c r="F7" s="182"/>
      <c r="G7" s="177"/>
      <c r="H7" s="182"/>
      <c r="I7" s="177"/>
      <c r="J7" s="182"/>
      <c r="K7" s="184"/>
      <c r="L7" s="180"/>
      <c r="M7" s="184"/>
      <c r="N7" s="219"/>
      <c r="O7" s="3"/>
      <c r="P7" s="3"/>
      <c r="Q7" s="3"/>
      <c r="R7" s="4"/>
      <c r="S7" s="4"/>
      <c r="T7" s="4"/>
      <c r="U7" s="178"/>
      <c r="V7" s="3"/>
      <c r="W7" s="3"/>
      <c r="X7" s="3"/>
      <c r="Y7" s="3"/>
      <c r="AA7" s="3"/>
      <c r="AB7" s="3"/>
      <c r="AC7" s="3"/>
      <c r="AD7" s="4"/>
      <c r="AE7" s="4"/>
      <c r="AF7" s="4"/>
      <c r="AG7" s="4"/>
      <c r="AH7" s="3"/>
      <c r="AI7" s="3"/>
      <c r="AJ7" s="217"/>
      <c r="AQ7" s="12" t="e">
        <f>AQ6</f>
        <v>#N/A</v>
      </c>
      <c r="AR7" s="87">
        <f>AR6</f>
        <v>312.12533109822908</v>
      </c>
      <c r="AS7" s="87">
        <f>AS6</f>
        <v>2152</v>
      </c>
      <c r="AT7" s="87">
        <f>-AT6</f>
        <v>-10</v>
      </c>
      <c r="AU7" s="11"/>
      <c r="AV7" s="108">
        <f>AV6</f>
        <v>469.12533109822903</v>
      </c>
      <c r="AW7" s="11"/>
      <c r="AX7" s="93" t="s">
        <v>44</v>
      </c>
      <c r="BD7" s="96">
        <f>AS1/(BD6)</f>
        <v>208.33333333333334</v>
      </c>
      <c r="BF7" s="1">
        <f>AS6/BD6</f>
        <v>179.33333333333334</v>
      </c>
      <c r="CF7" s="193"/>
      <c r="CG7" s="182"/>
      <c r="CH7" s="182"/>
    </row>
    <row r="8" spans="1:86" s="10" customFormat="1" ht="18" customHeight="1" thickBot="1" x14ac:dyDescent="0.25">
      <c r="A8" s="20" t="s">
        <v>1</v>
      </c>
      <c r="B8" s="21" t="s">
        <v>3</v>
      </c>
      <c r="C8" s="21" t="s">
        <v>3</v>
      </c>
      <c r="D8" s="22" t="s">
        <v>3</v>
      </c>
      <c r="E8" s="21" t="s">
        <v>4</v>
      </c>
      <c r="F8" s="22" t="s">
        <v>3</v>
      </c>
      <c r="G8" s="21" t="s">
        <v>5</v>
      </c>
      <c r="H8" s="22" t="s">
        <v>5</v>
      </c>
      <c r="I8" s="21" t="s">
        <v>5</v>
      </c>
      <c r="J8" s="22" t="s">
        <v>5</v>
      </c>
      <c r="K8" s="23" t="s">
        <v>10</v>
      </c>
      <c r="L8" s="23" t="s">
        <v>10</v>
      </c>
      <c r="M8" s="23" t="s">
        <v>11</v>
      </c>
      <c r="N8" s="219"/>
      <c r="O8" s="9"/>
      <c r="R8" s="8"/>
      <c r="S8" s="8"/>
      <c r="T8" s="8"/>
      <c r="U8" s="178"/>
      <c r="V8" s="9"/>
      <c r="AA8" s="9"/>
      <c r="AD8" s="8"/>
      <c r="AE8" s="8"/>
      <c r="AF8" s="8"/>
      <c r="AG8" s="8"/>
      <c r="AH8" s="9"/>
      <c r="AJ8" s="217"/>
      <c r="AQ8" s="88"/>
      <c r="AR8" s="88"/>
      <c r="AS8" s="88"/>
      <c r="AT8" s="88"/>
      <c r="AU8" s="88"/>
      <c r="AV8" s="88"/>
      <c r="AW8" s="88"/>
      <c r="AX8" s="94" t="s">
        <v>42</v>
      </c>
      <c r="CF8" s="109" t="s">
        <v>5</v>
      </c>
      <c r="CG8" s="22" t="s">
        <v>5</v>
      </c>
      <c r="CH8" s="22"/>
    </row>
    <row r="9" spans="1:86" s="10" customFormat="1" ht="18" customHeight="1" x14ac:dyDescent="0.2">
      <c r="A9" s="78">
        <v>-8</v>
      </c>
      <c r="B9" s="24">
        <v>340</v>
      </c>
      <c r="C9" s="25">
        <v>116.928</v>
      </c>
      <c r="D9" s="26">
        <v>257.95690000000002</v>
      </c>
      <c r="E9" s="27">
        <v>49.529000000000003</v>
      </c>
      <c r="F9" s="28">
        <v>12.717000000000001</v>
      </c>
      <c r="G9" s="27">
        <v>-2.4500000000000002</v>
      </c>
      <c r="H9" s="28">
        <v>-2.48</v>
      </c>
      <c r="I9" s="29">
        <v>-8.75</v>
      </c>
      <c r="J9" s="30">
        <v>-12.65</v>
      </c>
      <c r="K9" s="30">
        <v>21.427</v>
      </c>
      <c r="L9" s="30">
        <v>5.5731182795698926</v>
      </c>
      <c r="M9" s="30">
        <v>-15.219999904632568</v>
      </c>
      <c r="N9" s="219"/>
      <c r="O9" s="9"/>
      <c r="R9" s="5"/>
      <c r="S9" s="6"/>
      <c r="T9" s="6"/>
      <c r="U9" s="178"/>
      <c r="V9" s="9"/>
      <c r="AA9" s="9"/>
      <c r="AD9" s="5"/>
      <c r="AE9" s="6"/>
      <c r="AF9" s="6"/>
      <c r="AG9" s="6"/>
      <c r="AH9" s="9"/>
      <c r="AJ9" s="217"/>
      <c r="AQ9" s="88" t="s">
        <v>29</v>
      </c>
      <c r="AR9" s="88"/>
      <c r="AS9" s="88"/>
      <c r="AT9" s="88"/>
      <c r="AU9" s="88"/>
      <c r="AV9" s="88"/>
      <c r="AW9" s="88"/>
      <c r="BD9" s="10">
        <f>AR6/(BD6-BF6)</f>
        <v>28.375030099839009</v>
      </c>
      <c r="CF9" s="110">
        <v>-12.65</v>
      </c>
      <c r="CG9" s="30">
        <v>-4.8499999999999996</v>
      </c>
      <c r="CH9" s="30">
        <v>1</v>
      </c>
    </row>
    <row r="10" spans="1:86" s="10" customFormat="1" ht="18" customHeight="1" x14ac:dyDescent="0.2">
      <c r="A10" s="80"/>
      <c r="B10" s="32">
        <v>406</v>
      </c>
      <c r="C10" s="33">
        <v>182.928</v>
      </c>
      <c r="D10" s="34">
        <v>323.95689999999996</v>
      </c>
      <c r="E10" s="35">
        <v>56.560400000000001</v>
      </c>
      <c r="F10" s="36">
        <v>18.100999999999999</v>
      </c>
      <c r="G10" s="35">
        <v>-2.8</v>
      </c>
      <c r="H10" s="36">
        <v>-2.83</v>
      </c>
      <c r="I10" s="37">
        <v>-8.0399999999999991</v>
      </c>
      <c r="J10" s="38">
        <v>-11.97</v>
      </c>
      <c r="K10" s="38">
        <v>20.285</v>
      </c>
      <c r="L10" s="38">
        <v>5.4430107526881724</v>
      </c>
      <c r="M10" s="38">
        <v>-14.509999904632569</v>
      </c>
      <c r="N10" s="219"/>
      <c r="O10" s="9"/>
      <c r="R10" s="5"/>
      <c r="S10" s="6"/>
      <c r="T10" s="6"/>
      <c r="U10" s="178"/>
      <c r="V10" s="9"/>
      <c r="AA10" s="9"/>
      <c r="AD10" s="5"/>
      <c r="AE10" s="6"/>
      <c r="AF10" s="6"/>
      <c r="AG10" s="6"/>
      <c r="AH10" s="9"/>
      <c r="AJ10" s="217"/>
      <c r="AQ10" s="88"/>
      <c r="AR10" s="88"/>
      <c r="AS10" s="88" t="s">
        <v>32</v>
      </c>
      <c r="AT10" s="88"/>
      <c r="AU10" s="88" t="s">
        <v>33</v>
      </c>
      <c r="AV10" s="88"/>
      <c r="AW10" s="88"/>
      <c r="CF10" s="111">
        <v>-11.969999999999999</v>
      </c>
      <c r="CG10" s="38">
        <v>-4.1099999999999994</v>
      </c>
      <c r="CH10" s="38">
        <v>-4.1099999999999994</v>
      </c>
    </row>
    <row r="11" spans="1:86" s="10" customFormat="1" ht="18" customHeight="1" x14ac:dyDescent="0.2">
      <c r="A11" s="80"/>
      <c r="B11" s="32">
        <v>472</v>
      </c>
      <c r="C11" s="33">
        <v>248.928</v>
      </c>
      <c r="D11" s="34">
        <v>389.95690000000002</v>
      </c>
      <c r="E11" s="35">
        <v>61.343099999999993</v>
      </c>
      <c r="F11" s="36">
        <v>23.498000000000001</v>
      </c>
      <c r="G11" s="35">
        <v>-3.03</v>
      </c>
      <c r="H11" s="36">
        <v>-3.07</v>
      </c>
      <c r="I11" s="37">
        <v>-7.54</v>
      </c>
      <c r="J11" s="38">
        <v>-11.49</v>
      </c>
      <c r="K11" s="38">
        <v>19.577999999999999</v>
      </c>
      <c r="L11" s="38">
        <v>5.3193548387096774</v>
      </c>
      <c r="M11" s="38">
        <v>-14.019999904632568</v>
      </c>
      <c r="N11" s="219"/>
      <c r="O11" s="9"/>
      <c r="R11" s="5"/>
      <c r="S11" s="6"/>
      <c r="T11" s="6"/>
      <c r="U11" s="178"/>
      <c r="V11" s="9"/>
      <c r="AA11" s="9"/>
      <c r="AD11" s="5"/>
      <c r="AE11" s="6"/>
      <c r="AF11" s="6"/>
      <c r="AG11" s="6"/>
      <c r="AH11" s="9"/>
      <c r="AJ11" s="217"/>
      <c r="AQ11" s="88"/>
      <c r="AR11" s="90">
        <f>AR6+(AS6-AR6)*0.45</f>
        <v>1140.0689321040261</v>
      </c>
      <c r="AS11" s="91">
        <v>-10</v>
      </c>
      <c r="AT11" s="88" t="s">
        <v>30</v>
      </c>
      <c r="AU11" s="90">
        <f>AR6+(AS6-AR6)*0.55</f>
        <v>1324.0563989942032</v>
      </c>
      <c r="AV11" s="92">
        <v>-10</v>
      </c>
      <c r="AW11" s="88"/>
      <c r="BD11" s="10">
        <v>120</v>
      </c>
      <c r="BF11" s="10">
        <v>1</v>
      </c>
      <c r="CF11" s="111">
        <v>-11.49</v>
      </c>
      <c r="CG11" s="38">
        <v>-3.59</v>
      </c>
      <c r="CH11" s="38">
        <v>-3.59</v>
      </c>
    </row>
    <row r="12" spans="1:86" s="10" customFormat="1" ht="18" customHeight="1" x14ac:dyDescent="0.2">
      <c r="A12" s="80"/>
      <c r="B12" s="32">
        <v>538</v>
      </c>
      <c r="C12" s="33">
        <v>314.928</v>
      </c>
      <c r="D12" s="34">
        <v>455.95690000000002</v>
      </c>
      <c r="E12" s="35">
        <v>64.800399999999996</v>
      </c>
      <c r="F12" s="36">
        <v>28.905999999999999</v>
      </c>
      <c r="G12" s="35">
        <v>-3.2</v>
      </c>
      <c r="H12" s="36">
        <v>-3.24</v>
      </c>
      <c r="I12" s="37">
        <v>-7.16</v>
      </c>
      <c r="J12" s="38">
        <v>-11.12</v>
      </c>
      <c r="K12" s="38">
        <v>19.145</v>
      </c>
      <c r="L12" s="38">
        <v>5.2021505376344086</v>
      </c>
      <c r="M12" s="38">
        <v>-13.629999904632569</v>
      </c>
      <c r="N12" s="219"/>
      <c r="O12" s="9"/>
      <c r="R12" s="5"/>
      <c r="S12" s="6"/>
      <c r="T12" s="6"/>
      <c r="U12" s="178"/>
      <c r="V12" s="9"/>
      <c r="AA12" s="9"/>
      <c r="AD12" s="5"/>
      <c r="AE12" s="6"/>
      <c r="AF12" s="6"/>
      <c r="AG12" s="6"/>
      <c r="AH12" s="9"/>
      <c r="AJ12" s="217"/>
      <c r="AQ12" s="88"/>
      <c r="AR12" s="90">
        <f>AR11</f>
        <v>1140.0689321040261</v>
      </c>
      <c r="AS12" s="91">
        <v>-10</v>
      </c>
      <c r="AT12" s="88" t="s">
        <v>31</v>
      </c>
      <c r="AU12" s="90">
        <f>AU11</f>
        <v>1324.0563989942032</v>
      </c>
      <c r="AV12" s="92">
        <v>-10</v>
      </c>
      <c r="AW12" s="88"/>
      <c r="CF12" s="111">
        <v>-11.120000000000001</v>
      </c>
      <c r="CG12" s="38">
        <v>-3.2</v>
      </c>
      <c r="CH12" s="38">
        <v>-3.2</v>
      </c>
    </row>
    <row r="13" spans="1:86" s="10" customFormat="1" ht="18" customHeight="1" x14ac:dyDescent="0.2">
      <c r="A13" s="80"/>
      <c r="B13" s="32">
        <v>604</v>
      </c>
      <c r="C13" s="33">
        <v>380.928</v>
      </c>
      <c r="D13" s="34">
        <v>521.95690000000002</v>
      </c>
      <c r="E13" s="35">
        <v>67.407600000000002</v>
      </c>
      <c r="F13" s="36">
        <v>34.325000000000003</v>
      </c>
      <c r="G13" s="35">
        <v>-3.32</v>
      </c>
      <c r="H13" s="36">
        <v>-3.37</v>
      </c>
      <c r="I13" s="37">
        <v>-6.86</v>
      </c>
      <c r="J13" s="38">
        <v>-10.84</v>
      </c>
      <c r="K13" s="38">
        <v>18.898</v>
      </c>
      <c r="L13" s="38">
        <v>5.0924731182795693</v>
      </c>
      <c r="M13" s="38">
        <v>-13.309999904632569</v>
      </c>
      <c r="N13" s="219"/>
      <c r="O13" s="9"/>
      <c r="R13" s="5"/>
      <c r="S13" s="6"/>
      <c r="T13" s="6"/>
      <c r="U13" s="178"/>
      <c r="V13" s="9"/>
      <c r="AA13" s="9"/>
      <c r="AD13" s="5"/>
      <c r="AE13" s="6"/>
      <c r="AF13" s="6"/>
      <c r="AG13" s="6"/>
      <c r="AH13" s="9"/>
      <c r="AJ13" s="217"/>
      <c r="AQ13" s="88"/>
      <c r="AR13" s="88" t="s">
        <v>117</v>
      </c>
      <c r="AS13" s="88" t="s">
        <v>118</v>
      </c>
      <c r="AT13" s="88"/>
      <c r="AU13" s="88"/>
      <c r="AV13" s="88"/>
      <c r="AW13" s="88"/>
      <c r="CF13" s="111">
        <v>-10.83</v>
      </c>
      <c r="CG13" s="38">
        <v>-2.89</v>
      </c>
      <c r="CH13" s="38">
        <v>-2.89</v>
      </c>
    </row>
    <row r="14" spans="1:86" s="10" customFormat="1" ht="18" customHeight="1" x14ac:dyDescent="0.2">
      <c r="A14" s="80"/>
      <c r="B14" s="32">
        <v>670</v>
      </c>
      <c r="C14" s="33">
        <v>446.928</v>
      </c>
      <c r="D14" s="34">
        <v>587.95690000000002</v>
      </c>
      <c r="E14" s="35">
        <v>69.435699999999997</v>
      </c>
      <c r="F14" s="36">
        <v>39.753</v>
      </c>
      <c r="G14" s="35">
        <v>-3.42</v>
      </c>
      <c r="H14" s="36">
        <v>-3.47</v>
      </c>
      <c r="I14" s="37">
        <v>-6.62</v>
      </c>
      <c r="J14" s="38">
        <v>-10.61</v>
      </c>
      <c r="K14" s="38">
        <v>18.783999999999999</v>
      </c>
      <c r="L14" s="38">
        <v>4.9870967741935486</v>
      </c>
      <c r="M14" s="38">
        <v>-13.029999904632568</v>
      </c>
      <c r="N14" s="219"/>
      <c r="O14" s="9"/>
      <c r="R14" s="5"/>
      <c r="S14" s="6"/>
      <c r="T14" s="6"/>
      <c r="U14" s="178"/>
      <c r="V14" s="9"/>
      <c r="AA14" s="9"/>
      <c r="AD14" s="5"/>
      <c r="AE14" s="6"/>
      <c r="AF14" s="6"/>
      <c r="AG14" s="6"/>
      <c r="AH14" s="9"/>
      <c r="AJ14" s="217"/>
      <c r="AQ14" s="144" t="s">
        <v>116</v>
      </c>
      <c r="AR14" s="88">
        <f>-'Input Control'!B37</f>
        <v>-1699</v>
      </c>
      <c r="AS14" s="88">
        <f>'Input Control'!B37</f>
        <v>1699</v>
      </c>
      <c r="AT14" s="88">
        <v>0</v>
      </c>
      <c r="AU14" s="88"/>
      <c r="AV14" s="88"/>
      <c r="AW14" s="88"/>
      <c r="CF14" s="111">
        <v>-10.6</v>
      </c>
      <c r="CG14" s="38">
        <v>-2.64</v>
      </c>
      <c r="CH14" s="38">
        <v>-2.64</v>
      </c>
    </row>
    <row r="15" spans="1:86" s="10" customFormat="1" ht="18" customHeight="1" x14ac:dyDescent="0.2">
      <c r="A15" s="80"/>
      <c r="B15" s="32">
        <v>736</v>
      </c>
      <c r="C15" s="33">
        <v>512.928</v>
      </c>
      <c r="D15" s="34">
        <v>653.95689999999991</v>
      </c>
      <c r="E15" s="35">
        <v>71.050599999999989</v>
      </c>
      <c r="F15" s="36">
        <v>45.19</v>
      </c>
      <c r="G15" s="35">
        <v>-3.5</v>
      </c>
      <c r="H15" s="36">
        <v>-3.55</v>
      </c>
      <c r="I15" s="37">
        <v>-6.43</v>
      </c>
      <c r="J15" s="38">
        <v>-10.42</v>
      </c>
      <c r="K15" s="38">
        <v>18.766999999999999</v>
      </c>
      <c r="L15" s="38">
        <v>4.8881720430107523</v>
      </c>
      <c r="M15" s="38">
        <v>-12.759999904632569</v>
      </c>
      <c r="N15" s="219"/>
      <c r="O15" s="9"/>
      <c r="R15" s="5"/>
      <c r="S15" s="6"/>
      <c r="T15" s="6"/>
      <c r="U15" s="178"/>
      <c r="V15" s="9"/>
      <c r="AA15" s="9"/>
      <c r="AD15" s="5"/>
      <c r="AE15" s="6"/>
      <c r="AF15" s="6"/>
      <c r="AG15" s="6"/>
      <c r="AH15" s="9"/>
      <c r="AJ15" s="217"/>
      <c r="AR15" s="10">
        <f>AR14</f>
        <v>-1699</v>
      </c>
      <c r="AS15" s="10">
        <f>AS14</f>
        <v>1699</v>
      </c>
      <c r="AT15" s="10">
        <f>'Input Control'!B6</f>
        <v>2750</v>
      </c>
      <c r="CF15" s="111">
        <v>-10.42</v>
      </c>
      <c r="CG15" s="38">
        <v>-2.4399999999999995</v>
      </c>
      <c r="CH15" s="38">
        <v>-2.4399999999999995</v>
      </c>
    </row>
    <row r="16" spans="1:86" s="10" customFormat="1" ht="18" customHeight="1" x14ac:dyDescent="0.2">
      <c r="A16" s="80"/>
      <c r="B16" s="32">
        <v>802</v>
      </c>
      <c r="C16" s="33">
        <v>578.928</v>
      </c>
      <c r="D16" s="34">
        <v>719.95690000000002</v>
      </c>
      <c r="E16" s="35">
        <v>72.359499999999997</v>
      </c>
      <c r="F16" s="36">
        <v>50.634999999999998</v>
      </c>
      <c r="G16" s="35">
        <v>-3.56</v>
      </c>
      <c r="H16" s="36">
        <v>-3.62</v>
      </c>
      <c r="I16" s="37">
        <v>-6.27</v>
      </c>
      <c r="J16" s="38">
        <v>-10.27</v>
      </c>
      <c r="K16" s="38">
        <v>18.827000000000002</v>
      </c>
      <c r="L16" s="38">
        <v>4.7946236559139779</v>
      </c>
      <c r="M16" s="38">
        <v>-12.519999904632568</v>
      </c>
      <c r="N16" s="219"/>
      <c r="O16" s="9"/>
      <c r="R16" s="5"/>
      <c r="S16" s="6"/>
      <c r="T16" s="6"/>
      <c r="U16" s="178"/>
      <c r="V16" s="9"/>
      <c r="AA16" s="9"/>
      <c r="AD16" s="5"/>
      <c r="AE16" s="6"/>
      <c r="AF16" s="6"/>
      <c r="AG16" s="6"/>
      <c r="AH16" s="9"/>
      <c r="AJ16" s="217"/>
      <c r="CF16" s="111">
        <v>-10.27</v>
      </c>
      <c r="CG16" s="38">
        <v>-2.2699999999999996</v>
      </c>
      <c r="CH16" s="38">
        <v>-2.2699999999999996</v>
      </c>
    </row>
    <row r="17" spans="1:86" s="10" customFormat="1" ht="18" customHeight="1" thickBot="1" x14ac:dyDescent="0.25">
      <c r="A17" s="81"/>
      <c r="B17" s="39">
        <v>868</v>
      </c>
      <c r="C17" s="40">
        <v>644.928</v>
      </c>
      <c r="D17" s="41">
        <v>785.95689999999991</v>
      </c>
      <c r="E17" s="42">
        <v>73.434300000000007</v>
      </c>
      <c r="F17" s="43">
        <v>56.085999999999999</v>
      </c>
      <c r="G17" s="42">
        <v>-3.61</v>
      </c>
      <c r="H17" s="43">
        <v>-3.67</v>
      </c>
      <c r="I17" s="44">
        <v>-6.13</v>
      </c>
      <c r="J17" s="45">
        <v>-10.14</v>
      </c>
      <c r="K17" s="45">
        <v>18.946000000000002</v>
      </c>
      <c r="L17" s="45">
        <v>4.7064516129032254</v>
      </c>
      <c r="M17" s="45">
        <v>-12.279999904632568</v>
      </c>
      <c r="N17" s="219"/>
      <c r="O17" s="9"/>
      <c r="R17" s="5"/>
      <c r="S17" s="6"/>
      <c r="T17" s="6"/>
      <c r="U17" s="178"/>
      <c r="V17" s="9"/>
      <c r="AA17" s="9"/>
      <c r="AD17" s="5"/>
      <c r="AE17" s="6"/>
      <c r="AF17" s="6"/>
      <c r="AG17" s="6"/>
      <c r="AH17" s="9"/>
      <c r="AJ17" s="217"/>
      <c r="CF17" s="112">
        <v>-10.14</v>
      </c>
      <c r="CG17" s="45">
        <v>-2.12</v>
      </c>
      <c r="CH17" s="45">
        <v>-2.12</v>
      </c>
    </row>
    <row r="18" spans="1:86" s="10" customFormat="1" ht="18" customHeight="1" x14ac:dyDescent="0.2">
      <c r="A18" s="78">
        <v>-6</v>
      </c>
      <c r="B18" s="24">
        <v>340</v>
      </c>
      <c r="C18" s="25">
        <v>116.928</v>
      </c>
      <c r="D18" s="26">
        <v>257.95690000000002</v>
      </c>
      <c r="E18" s="27">
        <v>25.782300000000003</v>
      </c>
      <c r="F18" s="28">
        <v>6.5205999999999991</v>
      </c>
      <c r="G18" s="27">
        <v>-1.26</v>
      </c>
      <c r="H18" s="28">
        <v>-1.29</v>
      </c>
      <c r="I18" s="29">
        <v>-7.82</v>
      </c>
      <c r="J18" s="30">
        <v>-11.72</v>
      </c>
      <c r="K18" s="30">
        <v>19.905000000000001</v>
      </c>
      <c r="L18" s="30">
        <v>5.5731182795698926</v>
      </c>
      <c r="M18" s="30">
        <v>-11.919999904632569</v>
      </c>
      <c r="N18" s="219"/>
      <c r="O18" s="9"/>
      <c r="R18" s="5"/>
      <c r="S18" s="6"/>
      <c r="T18" s="6"/>
      <c r="U18" s="178"/>
      <c r="V18" s="9"/>
      <c r="AA18" s="9"/>
      <c r="AD18" s="5"/>
      <c r="AE18" s="6"/>
      <c r="AF18" s="6"/>
      <c r="AG18" s="6"/>
      <c r="AH18" s="9"/>
      <c r="AJ18" s="217"/>
      <c r="CF18" s="110">
        <v>-11.72</v>
      </c>
      <c r="CG18" s="30">
        <v>-3.9200000000000004</v>
      </c>
      <c r="CH18" s="30">
        <v>-3.9200000000000004</v>
      </c>
    </row>
    <row r="19" spans="1:86" s="10" customFormat="1" ht="18" customHeight="1" x14ac:dyDescent="0.2">
      <c r="A19" s="80"/>
      <c r="B19" s="32">
        <v>406</v>
      </c>
      <c r="C19" s="33">
        <v>182.928</v>
      </c>
      <c r="D19" s="34">
        <v>323.95689999999996</v>
      </c>
      <c r="E19" s="35">
        <v>33.271599999999999</v>
      </c>
      <c r="F19" s="36">
        <v>10.571</v>
      </c>
      <c r="G19" s="35">
        <v>-1.63</v>
      </c>
      <c r="H19" s="36">
        <v>-1.66</v>
      </c>
      <c r="I19" s="37">
        <v>-7.1</v>
      </c>
      <c r="J19" s="38">
        <v>-11.02</v>
      </c>
      <c r="K19" s="38">
        <v>18.795000000000002</v>
      </c>
      <c r="L19" s="38">
        <v>5.4430107526881724</v>
      </c>
      <c r="M19" s="38">
        <v>-11.209999904632568</v>
      </c>
      <c r="N19" s="219"/>
      <c r="O19" s="9"/>
      <c r="R19" s="5"/>
      <c r="S19" s="6"/>
      <c r="T19" s="6"/>
      <c r="U19" s="178"/>
      <c r="V19" s="9"/>
      <c r="AA19" s="9"/>
      <c r="AD19" s="5"/>
      <c r="AE19" s="6"/>
      <c r="AF19" s="6"/>
      <c r="AG19" s="6"/>
      <c r="AH19" s="9"/>
      <c r="AJ19" s="217"/>
      <c r="CF19" s="111">
        <v>-11.03</v>
      </c>
      <c r="CG19" s="38">
        <v>-3.1699999999999995</v>
      </c>
      <c r="CH19" s="38">
        <v>-3.1699999999999995</v>
      </c>
    </row>
    <row r="20" spans="1:86" s="10" customFormat="1" ht="18" customHeight="1" x14ac:dyDescent="0.2">
      <c r="A20" s="80"/>
      <c r="B20" s="32">
        <v>472</v>
      </c>
      <c r="C20" s="33">
        <v>248.928</v>
      </c>
      <c r="D20" s="34">
        <v>389.95690000000002</v>
      </c>
      <c r="E20" s="35">
        <v>38.376199999999997</v>
      </c>
      <c r="F20" s="36">
        <v>14.635999999999997</v>
      </c>
      <c r="G20" s="35">
        <v>-1.88</v>
      </c>
      <c r="H20" s="36">
        <v>-1.92</v>
      </c>
      <c r="I20" s="37">
        <v>-6.58</v>
      </c>
      <c r="J20" s="38">
        <v>-10.52</v>
      </c>
      <c r="K20" s="38">
        <v>18.119</v>
      </c>
      <c r="L20" s="38">
        <v>5.3193548387096774</v>
      </c>
      <c r="M20" s="38">
        <v>-10.719999904632569</v>
      </c>
      <c r="N20" s="219"/>
      <c r="O20" s="9"/>
      <c r="R20" s="5"/>
      <c r="S20" s="6"/>
      <c r="T20" s="6"/>
      <c r="U20" s="178"/>
      <c r="V20" s="9"/>
      <c r="AA20" s="9"/>
      <c r="AD20" s="5"/>
      <c r="AE20" s="6"/>
      <c r="AF20" s="6"/>
      <c r="AG20" s="6"/>
      <c r="AH20" s="9"/>
      <c r="AJ20" s="217"/>
      <c r="CF20" s="111">
        <v>-10.530000000000001</v>
      </c>
      <c r="CG20" s="38">
        <v>-2.63</v>
      </c>
      <c r="CH20" s="38">
        <v>-2.63</v>
      </c>
    </row>
    <row r="21" spans="1:86" s="10" customFormat="1" ht="18" customHeight="1" x14ac:dyDescent="0.2">
      <c r="A21" s="80"/>
      <c r="B21" s="32">
        <v>538</v>
      </c>
      <c r="C21" s="33">
        <v>314.928</v>
      </c>
      <c r="D21" s="34">
        <v>455.95690000000002</v>
      </c>
      <c r="E21" s="35">
        <v>42.076699999999995</v>
      </c>
      <c r="F21" s="36">
        <v>18.713999999999999</v>
      </c>
      <c r="G21" s="35">
        <v>-2.06</v>
      </c>
      <c r="H21" s="36">
        <v>-2.1</v>
      </c>
      <c r="I21" s="37">
        <v>-6.18</v>
      </c>
      <c r="J21" s="38">
        <v>-10.15</v>
      </c>
      <c r="K21" s="38">
        <v>17.718</v>
      </c>
      <c r="L21" s="38">
        <v>5.2021505376344086</v>
      </c>
      <c r="M21" s="38">
        <v>-10.339999904632569</v>
      </c>
      <c r="N21" s="219"/>
      <c r="O21" s="3"/>
      <c r="P21" s="3"/>
      <c r="Q21" s="3"/>
      <c r="R21" s="4"/>
      <c r="S21" s="4"/>
      <c r="T21" s="4"/>
      <c r="U21" s="178"/>
      <c r="V21" s="3"/>
      <c r="W21" s="3"/>
      <c r="X21" s="3"/>
      <c r="AA21" s="3"/>
      <c r="AB21" s="3"/>
      <c r="AC21" s="3"/>
      <c r="AD21" s="4"/>
      <c r="AE21" s="4"/>
      <c r="AF21" s="4"/>
      <c r="AG21" s="4"/>
      <c r="AH21" s="3"/>
      <c r="AI21" s="3"/>
      <c r="AJ21" s="217"/>
      <c r="CF21" s="111">
        <v>-10.14</v>
      </c>
      <c r="CG21" s="38">
        <v>-2.2199999999999998</v>
      </c>
      <c r="CH21" s="38">
        <v>-2.2199999999999998</v>
      </c>
    </row>
    <row r="22" spans="1:86" s="10" customFormat="1" ht="18" customHeight="1" x14ac:dyDescent="0.2">
      <c r="A22" s="80"/>
      <c r="B22" s="32">
        <v>604</v>
      </c>
      <c r="C22" s="33">
        <v>380.928</v>
      </c>
      <c r="D22" s="34">
        <v>521.95690000000002</v>
      </c>
      <c r="E22" s="35">
        <v>44.877900000000004</v>
      </c>
      <c r="F22" s="36">
        <v>22.803000000000001</v>
      </c>
      <c r="G22" s="35">
        <v>-2.2000000000000002</v>
      </c>
      <c r="H22" s="36">
        <v>-2.2400000000000002</v>
      </c>
      <c r="I22" s="37">
        <v>-5.88</v>
      </c>
      <c r="J22" s="38">
        <v>-9.85</v>
      </c>
      <c r="K22" s="38">
        <v>17.501000000000001</v>
      </c>
      <c r="L22" s="38">
        <v>5.0924731182795693</v>
      </c>
      <c r="M22" s="38">
        <v>-10.019999904632568</v>
      </c>
      <c r="N22" s="219"/>
      <c r="O22" s="3"/>
      <c r="P22" s="3"/>
      <c r="Q22" s="3"/>
      <c r="R22" s="4"/>
      <c r="S22" s="4"/>
      <c r="T22" s="4"/>
      <c r="U22" s="178"/>
      <c r="V22" s="3"/>
      <c r="W22" s="3"/>
      <c r="X22" s="3"/>
      <c r="AA22" s="3"/>
      <c r="AB22" s="3"/>
      <c r="AC22" s="3"/>
      <c r="AD22" s="4"/>
      <c r="AE22" s="4"/>
      <c r="AF22" s="4"/>
      <c r="AG22" s="4"/>
      <c r="AH22" s="3"/>
      <c r="AI22" s="3"/>
      <c r="AJ22" s="217"/>
      <c r="CF22" s="111">
        <v>-9.85</v>
      </c>
      <c r="CG22" s="38">
        <v>-1.9099999999999997</v>
      </c>
      <c r="CH22" s="38">
        <v>-1.9099999999999997</v>
      </c>
    </row>
    <row r="23" spans="1:86" s="10" customFormat="1" ht="18" customHeight="1" x14ac:dyDescent="0.2">
      <c r="A23" s="80"/>
      <c r="B23" s="32">
        <v>670</v>
      </c>
      <c r="C23" s="33">
        <v>446.928</v>
      </c>
      <c r="D23" s="34">
        <v>587.95690000000002</v>
      </c>
      <c r="E23" s="35">
        <v>47.067099999999996</v>
      </c>
      <c r="F23" s="36">
        <v>26.901000000000003</v>
      </c>
      <c r="G23" s="35">
        <v>-2.2999999999999998</v>
      </c>
      <c r="H23" s="36">
        <v>-2.35</v>
      </c>
      <c r="I23" s="37">
        <v>-5.63</v>
      </c>
      <c r="J23" s="38">
        <v>-9.6199999999999992</v>
      </c>
      <c r="K23" s="38">
        <v>17.414000000000001</v>
      </c>
      <c r="L23" s="38">
        <v>4.9870967741935486</v>
      </c>
      <c r="M23" s="38">
        <v>-9.7299999046325674</v>
      </c>
      <c r="N23" s="219"/>
      <c r="O23" s="3"/>
      <c r="P23" s="3"/>
      <c r="Q23" s="3"/>
      <c r="R23" s="4"/>
      <c r="S23" s="4"/>
      <c r="T23" s="4"/>
      <c r="U23" s="178"/>
      <c r="V23" s="3"/>
      <c r="W23" s="3"/>
      <c r="X23" s="3"/>
      <c r="AA23" s="3"/>
      <c r="AB23" s="3"/>
      <c r="AC23" s="3"/>
      <c r="AD23" s="4"/>
      <c r="AE23" s="4"/>
      <c r="AF23" s="4"/>
      <c r="AG23" s="4"/>
      <c r="AH23" s="3"/>
      <c r="AI23" s="3"/>
      <c r="AJ23" s="217"/>
      <c r="CF23" s="111">
        <v>-9.61</v>
      </c>
      <c r="CG23" s="38">
        <v>-1.65</v>
      </c>
      <c r="CH23" s="38">
        <v>-1.65</v>
      </c>
    </row>
    <row r="24" spans="1:86" s="10" customFormat="1" ht="18" customHeight="1" x14ac:dyDescent="0.2">
      <c r="A24" s="80"/>
      <c r="B24" s="32">
        <v>736</v>
      </c>
      <c r="C24" s="33">
        <v>512.928</v>
      </c>
      <c r="D24" s="34">
        <v>653.95689999999991</v>
      </c>
      <c r="E24" s="35">
        <v>48.820599999999999</v>
      </c>
      <c r="F24" s="36">
        <v>31.008999999999997</v>
      </c>
      <c r="G24" s="35">
        <v>-2.38</v>
      </c>
      <c r="H24" s="36">
        <v>-2.44</v>
      </c>
      <c r="I24" s="37">
        <v>-5.43</v>
      </c>
      <c r="J24" s="38">
        <v>-9.42</v>
      </c>
      <c r="K24" s="38">
        <v>17.425000000000001</v>
      </c>
      <c r="L24" s="38">
        <v>4.8881720430107523</v>
      </c>
      <c r="M24" s="38">
        <v>-9.4699999046325694</v>
      </c>
      <c r="N24" s="219"/>
      <c r="O24" s="9"/>
      <c r="R24" s="8"/>
      <c r="S24" s="8"/>
      <c r="T24" s="8"/>
      <c r="U24" s="178"/>
      <c r="V24" s="9"/>
      <c r="AA24" s="9"/>
      <c r="AD24" s="8"/>
      <c r="AE24" s="8"/>
      <c r="AF24" s="8"/>
      <c r="AG24" s="8"/>
      <c r="AH24" s="9"/>
      <c r="AJ24" s="217"/>
      <c r="CF24" s="111">
        <v>-9.42</v>
      </c>
      <c r="CG24" s="38">
        <v>-1.4399999999999995</v>
      </c>
      <c r="CH24" s="38">
        <v>-1.4399999999999995</v>
      </c>
    </row>
    <row r="25" spans="1:86" s="10" customFormat="1" ht="18" customHeight="1" x14ac:dyDescent="0.2">
      <c r="A25" s="80"/>
      <c r="B25" s="32">
        <v>802</v>
      </c>
      <c r="C25" s="33">
        <v>578.928</v>
      </c>
      <c r="D25" s="34">
        <v>719.95690000000002</v>
      </c>
      <c r="E25" s="35">
        <v>50.251800000000003</v>
      </c>
      <c r="F25" s="36">
        <v>35.125</v>
      </c>
      <c r="G25" s="35">
        <v>-2.4500000000000002</v>
      </c>
      <c r="H25" s="36">
        <v>-2.5099999999999998</v>
      </c>
      <c r="I25" s="37">
        <v>-5.26</v>
      </c>
      <c r="J25" s="38">
        <v>-9.26</v>
      </c>
      <c r="K25" s="38">
        <v>17.510999999999999</v>
      </c>
      <c r="L25" s="38">
        <v>4.7946236559139779</v>
      </c>
      <c r="M25" s="38">
        <v>-9.2199999046325694</v>
      </c>
      <c r="N25" s="219"/>
      <c r="O25" s="9"/>
      <c r="R25" s="5"/>
      <c r="S25" s="6"/>
      <c r="T25" s="6"/>
      <c r="U25" s="178"/>
      <c r="V25" s="9"/>
      <c r="AA25" s="9"/>
      <c r="AD25" s="5"/>
      <c r="AE25" s="6"/>
      <c r="AF25" s="6"/>
      <c r="AG25" s="6"/>
      <c r="AH25" s="9"/>
      <c r="AJ25" s="217"/>
      <c r="CF25" s="111">
        <v>-9.26</v>
      </c>
      <c r="CG25" s="38">
        <v>-1.2599999999999998</v>
      </c>
      <c r="CH25" s="38">
        <v>-1.2599999999999998</v>
      </c>
    </row>
    <row r="26" spans="1:86" s="10" customFormat="1" ht="18" customHeight="1" thickBot="1" x14ac:dyDescent="0.25">
      <c r="A26" s="82"/>
      <c r="B26" s="39">
        <v>868</v>
      </c>
      <c r="C26" s="40">
        <v>644.928</v>
      </c>
      <c r="D26" s="41">
        <v>785.95689999999991</v>
      </c>
      <c r="E26" s="42">
        <v>51.436800000000005</v>
      </c>
      <c r="F26" s="43">
        <v>39.247999999999998</v>
      </c>
      <c r="G26" s="42">
        <v>-2.5099999999999998</v>
      </c>
      <c r="H26" s="43">
        <v>-2.57</v>
      </c>
      <c r="I26" s="39">
        <v>-5.1100000000000003</v>
      </c>
      <c r="J26" s="46">
        <v>-9.1199999999999992</v>
      </c>
      <c r="K26" s="45">
        <v>17.655000000000001</v>
      </c>
      <c r="L26" s="45">
        <v>4.7064516129032254</v>
      </c>
      <c r="M26" s="45">
        <v>-8.9899999046325689</v>
      </c>
      <c r="N26" s="219"/>
      <c r="O26" s="9"/>
      <c r="R26" s="5"/>
      <c r="S26" s="6"/>
      <c r="T26" s="6"/>
      <c r="U26" s="178"/>
      <c r="V26" s="9"/>
      <c r="AA26" s="9"/>
      <c r="AD26" s="5"/>
      <c r="AE26" s="6"/>
      <c r="AF26" s="6"/>
      <c r="AG26" s="6"/>
      <c r="AH26" s="9"/>
      <c r="AJ26" s="217"/>
      <c r="CF26" s="113">
        <v>-9.120000000000001</v>
      </c>
      <c r="CG26" s="46">
        <v>-1.1000000000000005</v>
      </c>
      <c r="CH26" s="46">
        <v>-1.1000000000000005</v>
      </c>
    </row>
    <row r="27" spans="1:86" s="10" customFormat="1" ht="18" customHeight="1" x14ac:dyDescent="0.2">
      <c r="A27" s="78">
        <v>-4</v>
      </c>
      <c r="B27" s="24">
        <v>340</v>
      </c>
      <c r="C27" s="25">
        <v>116.928</v>
      </c>
      <c r="D27" s="26">
        <v>257.95690000000002</v>
      </c>
      <c r="E27" s="27">
        <v>2.0356000000000001</v>
      </c>
      <c r="F27" s="28">
        <v>0.32440999999999998</v>
      </c>
      <c r="G27" s="29">
        <v>-0.08</v>
      </c>
      <c r="H27" s="30">
        <v>-0.1</v>
      </c>
      <c r="I27" s="29">
        <v>-6.89</v>
      </c>
      <c r="J27" s="30">
        <v>-10.79</v>
      </c>
      <c r="K27" s="30">
        <v>18.382999999999999</v>
      </c>
      <c r="L27" s="30">
        <v>5.5731182795698926</v>
      </c>
      <c r="M27" s="30">
        <v>-9.5999999046325684</v>
      </c>
      <c r="N27" s="219"/>
      <c r="O27" s="9"/>
      <c r="R27" s="5"/>
      <c r="S27" s="6"/>
      <c r="T27" s="6"/>
      <c r="U27" s="178"/>
      <c r="V27" s="9"/>
      <c r="AA27" s="9"/>
      <c r="AD27" s="5"/>
      <c r="AE27" s="6"/>
      <c r="AF27" s="6"/>
      <c r="AG27" s="6"/>
      <c r="AH27" s="9"/>
      <c r="AJ27" s="217"/>
      <c r="CF27" s="110">
        <v>-10.79</v>
      </c>
      <c r="CG27" s="30">
        <v>-2.9899999999999998</v>
      </c>
      <c r="CH27" s="30">
        <v>-2.9899999999999998</v>
      </c>
    </row>
    <row r="28" spans="1:86" s="10" customFormat="1" ht="18" customHeight="1" x14ac:dyDescent="0.2">
      <c r="A28" s="80"/>
      <c r="B28" s="32">
        <v>406</v>
      </c>
      <c r="C28" s="33">
        <v>182.928</v>
      </c>
      <c r="D28" s="34">
        <v>323.95689999999996</v>
      </c>
      <c r="E28" s="35">
        <v>9.9828700000000001</v>
      </c>
      <c r="F28" s="36">
        <v>3.0418000000000003</v>
      </c>
      <c r="G28" s="37">
        <v>-0.47</v>
      </c>
      <c r="H28" s="38">
        <v>-0.5</v>
      </c>
      <c r="I28" s="37">
        <v>-6.15</v>
      </c>
      <c r="J28" s="38">
        <v>-10.08</v>
      </c>
      <c r="K28" s="38">
        <v>17.305</v>
      </c>
      <c r="L28" s="38">
        <v>5.4430107526881724</v>
      </c>
      <c r="M28" s="38">
        <v>-8.8999999046325691</v>
      </c>
      <c r="N28" s="219"/>
      <c r="O28" s="9"/>
      <c r="R28" s="5"/>
      <c r="S28" s="6"/>
      <c r="T28" s="6"/>
      <c r="U28" s="178"/>
      <c r="V28" s="9"/>
      <c r="AA28" s="9"/>
      <c r="AD28" s="5"/>
      <c r="AE28" s="6"/>
      <c r="AF28" s="6"/>
      <c r="AG28" s="6"/>
      <c r="AH28" s="9"/>
      <c r="AJ28" s="217"/>
      <c r="CF28" s="111">
        <v>-10.08</v>
      </c>
      <c r="CG28" s="38">
        <v>-2.2200000000000002</v>
      </c>
      <c r="CH28" s="38">
        <v>-2.2200000000000002</v>
      </c>
    </row>
    <row r="29" spans="1:86" s="10" customFormat="1" ht="18" customHeight="1" x14ac:dyDescent="0.2">
      <c r="A29" s="80"/>
      <c r="B29" s="32">
        <v>472</v>
      </c>
      <c r="C29" s="33">
        <v>248.928</v>
      </c>
      <c r="D29" s="34">
        <v>389.95690000000002</v>
      </c>
      <c r="E29" s="35">
        <v>15.409300000000002</v>
      </c>
      <c r="F29" s="36">
        <v>5.7752000000000008</v>
      </c>
      <c r="G29" s="37">
        <v>-0.73</v>
      </c>
      <c r="H29" s="38">
        <v>-0.77</v>
      </c>
      <c r="I29" s="37">
        <v>-5.61</v>
      </c>
      <c r="J29" s="38">
        <v>-9.56</v>
      </c>
      <c r="K29" s="38">
        <v>16.661000000000001</v>
      </c>
      <c r="L29" s="38">
        <v>5.3193548387096774</v>
      </c>
      <c r="M29" s="38">
        <v>-8.4099999046325689</v>
      </c>
      <c r="N29" s="219"/>
      <c r="O29" s="9"/>
      <c r="R29" s="5"/>
      <c r="S29" s="6"/>
      <c r="T29" s="6"/>
      <c r="U29" s="178"/>
      <c r="V29" s="9"/>
      <c r="AA29" s="9"/>
      <c r="AD29" s="5"/>
      <c r="AE29" s="6"/>
      <c r="AF29" s="6"/>
      <c r="AG29" s="6"/>
      <c r="AH29" s="9"/>
      <c r="AJ29" s="217"/>
      <c r="CF29" s="111">
        <v>-9.56</v>
      </c>
      <c r="CG29" s="38">
        <v>-1.6600000000000001</v>
      </c>
      <c r="CH29" s="38">
        <v>-1.6600000000000001</v>
      </c>
    </row>
    <row r="30" spans="1:86" s="10" customFormat="1" ht="18" customHeight="1" x14ac:dyDescent="0.2">
      <c r="A30" s="80"/>
      <c r="B30" s="32">
        <v>538</v>
      </c>
      <c r="C30" s="33">
        <v>314.928</v>
      </c>
      <c r="D30" s="34">
        <v>455.95690000000002</v>
      </c>
      <c r="E30" s="35">
        <v>19.353000000000002</v>
      </c>
      <c r="F30" s="36">
        <v>8.5221</v>
      </c>
      <c r="G30" s="37">
        <v>-0.93</v>
      </c>
      <c r="H30" s="38">
        <v>-0.97</v>
      </c>
      <c r="I30" s="37">
        <v>-5.21</v>
      </c>
      <c r="J30" s="38">
        <v>-9.17</v>
      </c>
      <c r="K30" s="38">
        <v>16.29</v>
      </c>
      <c r="L30" s="38">
        <v>5.2021505376344086</v>
      </c>
      <c r="M30" s="38">
        <v>-8.0199999046325683</v>
      </c>
      <c r="N30" s="219"/>
      <c r="O30" s="9"/>
      <c r="R30" s="5"/>
      <c r="S30" s="6"/>
      <c r="T30" s="6"/>
      <c r="U30" s="178"/>
      <c r="V30" s="9"/>
      <c r="AA30" s="9"/>
      <c r="AD30" s="5"/>
      <c r="AE30" s="6"/>
      <c r="AF30" s="6"/>
      <c r="AG30" s="6"/>
      <c r="AH30" s="9"/>
      <c r="AJ30" s="217"/>
      <c r="CF30" s="111">
        <v>-9.17</v>
      </c>
      <c r="CG30" s="38">
        <v>-1.25</v>
      </c>
      <c r="CH30" s="38">
        <v>-1.25</v>
      </c>
    </row>
    <row r="31" spans="1:86" s="10" customFormat="1" ht="18" customHeight="1" x14ac:dyDescent="0.2">
      <c r="A31" s="80"/>
      <c r="B31" s="32">
        <v>604</v>
      </c>
      <c r="C31" s="33">
        <v>380.928</v>
      </c>
      <c r="D31" s="34">
        <v>521.95690000000002</v>
      </c>
      <c r="E31" s="35">
        <v>22.348100000000002</v>
      </c>
      <c r="F31" s="36">
        <v>11.281000000000001</v>
      </c>
      <c r="G31" s="37">
        <v>-1.07</v>
      </c>
      <c r="H31" s="38">
        <v>-1.1200000000000001</v>
      </c>
      <c r="I31" s="37">
        <v>-4.8899999999999997</v>
      </c>
      <c r="J31" s="38">
        <v>-8.8699999999999992</v>
      </c>
      <c r="K31" s="38">
        <v>16.103000000000002</v>
      </c>
      <c r="L31" s="38">
        <v>5.0924731182795693</v>
      </c>
      <c r="M31" s="38">
        <v>-7.699999904632568</v>
      </c>
      <c r="N31" s="219"/>
      <c r="O31" s="9"/>
      <c r="R31" s="5"/>
      <c r="S31" s="6"/>
      <c r="T31" s="6"/>
      <c r="U31" s="178"/>
      <c r="V31" s="9"/>
      <c r="AA31" s="9"/>
      <c r="AD31" s="5"/>
      <c r="AE31" s="6"/>
      <c r="AF31" s="6"/>
      <c r="AG31" s="6"/>
      <c r="AH31" s="9"/>
      <c r="AJ31" s="217"/>
      <c r="CF31" s="111">
        <v>-8.86</v>
      </c>
      <c r="CG31" s="38">
        <v>-0.91999999999999948</v>
      </c>
      <c r="CH31" s="38">
        <v>-0.91999999999999948</v>
      </c>
    </row>
    <row r="32" spans="1:86" s="10" customFormat="1" ht="18" customHeight="1" x14ac:dyDescent="0.2">
      <c r="A32" s="80"/>
      <c r="B32" s="32">
        <v>670</v>
      </c>
      <c r="C32" s="33">
        <v>446.928</v>
      </c>
      <c r="D32" s="34">
        <v>587.95690000000002</v>
      </c>
      <c r="E32" s="35">
        <v>24.698600000000003</v>
      </c>
      <c r="F32" s="36">
        <v>14.050000000000002</v>
      </c>
      <c r="G32" s="37">
        <v>-1.18</v>
      </c>
      <c r="H32" s="38">
        <v>-1.23</v>
      </c>
      <c r="I32" s="37">
        <v>-4.6399999999999997</v>
      </c>
      <c r="J32" s="38">
        <v>-8.6199999999999992</v>
      </c>
      <c r="K32" s="38">
        <v>16.045000000000002</v>
      </c>
      <c r="L32" s="38">
        <v>4.9870967741935486</v>
      </c>
      <c r="M32" s="38">
        <v>-7.4199999046325686</v>
      </c>
      <c r="N32" s="219"/>
      <c r="O32" s="9"/>
      <c r="R32" s="5"/>
      <c r="S32" s="6"/>
      <c r="T32" s="6"/>
      <c r="U32" s="178"/>
      <c r="V32" s="9"/>
      <c r="AA32" s="9"/>
      <c r="AD32" s="5"/>
      <c r="AE32" s="6"/>
      <c r="AF32" s="6"/>
      <c r="AG32" s="6"/>
      <c r="AH32" s="9"/>
      <c r="AJ32" s="217"/>
      <c r="CF32" s="111">
        <v>-8.6199999999999992</v>
      </c>
      <c r="CG32" s="38">
        <v>-0.6599999999999997</v>
      </c>
      <c r="CH32" s="38">
        <v>-0.6599999999999997</v>
      </c>
    </row>
    <row r="33" spans="1:86" s="10" customFormat="1" ht="18" customHeight="1" x14ac:dyDescent="0.2">
      <c r="A33" s="80"/>
      <c r="B33" s="32">
        <v>736</v>
      </c>
      <c r="C33" s="33">
        <v>512.928</v>
      </c>
      <c r="D33" s="34">
        <v>653.95689999999991</v>
      </c>
      <c r="E33" s="35">
        <v>26.590599999999998</v>
      </c>
      <c r="F33" s="36">
        <v>16.827999999999999</v>
      </c>
      <c r="G33" s="37">
        <v>-1.27</v>
      </c>
      <c r="H33" s="38">
        <v>-1.33</v>
      </c>
      <c r="I33" s="37">
        <v>-4.43</v>
      </c>
      <c r="J33" s="38">
        <v>-8.42</v>
      </c>
      <c r="K33" s="38">
        <v>16.082999999999998</v>
      </c>
      <c r="L33" s="38">
        <v>4.8881720430107523</v>
      </c>
      <c r="M33" s="38">
        <v>-7.159999904632568</v>
      </c>
      <c r="N33" s="219"/>
      <c r="O33" s="9"/>
      <c r="R33" s="5"/>
      <c r="S33" s="6"/>
      <c r="T33" s="6"/>
      <c r="U33" s="178"/>
      <c r="V33" s="9"/>
      <c r="AA33" s="9"/>
      <c r="AD33" s="5"/>
      <c r="AE33" s="6"/>
      <c r="AF33" s="6"/>
      <c r="AG33" s="6"/>
      <c r="AH33" s="9"/>
      <c r="AJ33" s="217"/>
      <c r="CF33" s="111">
        <v>-8.42</v>
      </c>
      <c r="CG33" s="38">
        <v>-0.4399999999999995</v>
      </c>
      <c r="CH33" s="38">
        <v>-0.4399999999999995</v>
      </c>
    </row>
    <row r="34" spans="1:86" s="10" customFormat="1" ht="18" customHeight="1" x14ac:dyDescent="0.2">
      <c r="A34" s="80"/>
      <c r="B34" s="32">
        <v>802</v>
      </c>
      <c r="C34" s="33">
        <v>578.928</v>
      </c>
      <c r="D34" s="34">
        <v>719.95690000000002</v>
      </c>
      <c r="E34" s="35">
        <v>28.144099999999998</v>
      </c>
      <c r="F34" s="36">
        <v>19.616</v>
      </c>
      <c r="G34" s="37">
        <v>-1.35</v>
      </c>
      <c r="H34" s="38">
        <v>-1.41</v>
      </c>
      <c r="I34" s="37">
        <v>-4.25</v>
      </c>
      <c r="J34" s="38">
        <v>-8.25</v>
      </c>
      <c r="K34" s="38">
        <v>16.195</v>
      </c>
      <c r="L34" s="38">
        <v>4.7946236559139779</v>
      </c>
      <c r="M34" s="38">
        <v>-6.909999904632568</v>
      </c>
      <c r="N34" s="219"/>
      <c r="O34" s="9"/>
      <c r="R34" s="5"/>
      <c r="S34" s="6"/>
      <c r="T34" s="6"/>
      <c r="U34" s="178"/>
      <c r="V34" s="9"/>
      <c r="AA34" s="9"/>
      <c r="AD34" s="5"/>
      <c r="AE34" s="6"/>
      <c r="AF34" s="6"/>
      <c r="AG34" s="6"/>
      <c r="AH34" s="9"/>
      <c r="AJ34" s="217"/>
      <c r="CF34" s="111">
        <v>-8.25</v>
      </c>
      <c r="CG34" s="38">
        <v>-0.25</v>
      </c>
      <c r="CH34" s="38">
        <v>-0.25</v>
      </c>
    </row>
    <row r="35" spans="1:86" s="10" customFormat="1" ht="18" customHeight="1" thickBot="1" x14ac:dyDescent="0.25">
      <c r="A35" s="81"/>
      <c r="B35" s="39">
        <v>868</v>
      </c>
      <c r="C35" s="40">
        <v>644.928</v>
      </c>
      <c r="D35" s="41">
        <v>785.95689999999991</v>
      </c>
      <c r="E35" s="42">
        <v>29.439199999999996</v>
      </c>
      <c r="F35" s="43">
        <v>22.41</v>
      </c>
      <c r="G35" s="44">
        <v>-1.41</v>
      </c>
      <c r="H35" s="45">
        <v>-1.47</v>
      </c>
      <c r="I35" s="44">
        <v>-4.0999999999999996</v>
      </c>
      <c r="J35" s="45">
        <v>-8.11</v>
      </c>
      <c r="K35" s="45">
        <v>16.363</v>
      </c>
      <c r="L35" s="45">
        <v>4.7064516129032254</v>
      </c>
      <c r="M35" s="45">
        <v>-6.6799999046325684</v>
      </c>
      <c r="N35" s="219"/>
      <c r="O35" s="9"/>
      <c r="R35" s="5"/>
      <c r="S35" s="6"/>
      <c r="T35" s="6"/>
      <c r="U35" s="178"/>
      <c r="V35" s="9"/>
      <c r="AA35" s="9"/>
      <c r="AD35" s="5"/>
      <c r="AE35" s="6"/>
      <c r="AF35" s="6"/>
      <c r="AG35" s="6"/>
      <c r="AH35" s="9"/>
      <c r="AJ35" s="217"/>
      <c r="CF35" s="112">
        <v>-8.11</v>
      </c>
      <c r="CG35" s="45">
        <v>-8.9999999999999858E-2</v>
      </c>
      <c r="CH35" s="45">
        <v>-8.9999999999999858E-2</v>
      </c>
    </row>
    <row r="36" spans="1:86" s="10" customFormat="1" ht="18" customHeight="1" x14ac:dyDescent="0.2">
      <c r="A36" s="78">
        <v>-2</v>
      </c>
      <c r="B36" s="24">
        <v>340</v>
      </c>
      <c r="C36" s="25">
        <v>116.928</v>
      </c>
      <c r="D36" s="26">
        <v>257.95690000000002</v>
      </c>
      <c r="E36" s="27">
        <v>22.761899999999997</v>
      </c>
      <c r="F36" s="28">
        <v>6.1683000000000003</v>
      </c>
      <c r="G36" s="29">
        <v>1.1100000000000001</v>
      </c>
      <c r="H36" s="30">
        <v>1.1399999999999999</v>
      </c>
      <c r="I36" s="29">
        <v>-5.96</v>
      </c>
      <c r="J36" s="30">
        <v>-9.86</v>
      </c>
      <c r="K36" s="30">
        <v>16.861999999999998</v>
      </c>
      <c r="L36" s="30">
        <v>5.5731182795698926</v>
      </c>
      <c r="M36" s="30">
        <v>-8.2699999046325683</v>
      </c>
      <c r="N36" s="219"/>
      <c r="O36" s="9"/>
      <c r="R36" s="5"/>
      <c r="S36" s="6"/>
      <c r="T36" s="6"/>
      <c r="U36" s="178"/>
      <c r="V36" s="9"/>
      <c r="AA36" s="9"/>
      <c r="AD36" s="5"/>
      <c r="AE36" s="6"/>
      <c r="AF36" s="6"/>
      <c r="AG36" s="6"/>
      <c r="AH36" s="9"/>
      <c r="AJ36" s="217"/>
      <c r="CF36" s="110">
        <v>-9.86</v>
      </c>
      <c r="CG36" s="30">
        <v>-2.06</v>
      </c>
      <c r="CH36" s="30">
        <v>-2.06</v>
      </c>
    </row>
    <row r="37" spans="1:86" s="10" customFormat="1" ht="18" customHeight="1" x14ac:dyDescent="0.2">
      <c r="A37" s="80"/>
      <c r="B37" s="32">
        <v>406</v>
      </c>
      <c r="C37" s="33">
        <v>182.928</v>
      </c>
      <c r="D37" s="34">
        <v>323.95689999999996</v>
      </c>
      <c r="E37" s="35">
        <v>14.5707</v>
      </c>
      <c r="F37" s="36">
        <v>4.9178000000000006</v>
      </c>
      <c r="G37" s="37">
        <v>0.7</v>
      </c>
      <c r="H37" s="38">
        <v>0.73</v>
      </c>
      <c r="I37" s="37">
        <v>-5.2</v>
      </c>
      <c r="J37" s="38">
        <v>-9.1300000000000008</v>
      </c>
      <c r="K37" s="38">
        <v>15.816000000000001</v>
      </c>
      <c r="L37" s="38">
        <v>5.4430107526881724</v>
      </c>
      <c r="M37" s="38">
        <v>-7.5599999046325683</v>
      </c>
      <c r="N37" s="219"/>
      <c r="O37" s="3"/>
      <c r="P37" s="3"/>
      <c r="Q37" s="3"/>
      <c r="R37" s="4"/>
      <c r="S37" s="4"/>
      <c r="T37" s="4"/>
      <c r="U37" s="178"/>
      <c r="V37" s="3"/>
      <c r="W37" s="3"/>
      <c r="X37" s="3"/>
      <c r="AA37" s="3"/>
      <c r="AB37" s="3"/>
      <c r="AC37" s="3"/>
      <c r="AD37" s="4"/>
      <c r="AE37" s="4"/>
      <c r="AF37" s="4"/>
      <c r="AG37" s="4"/>
      <c r="AH37" s="3"/>
      <c r="AI37" s="3"/>
      <c r="AJ37" s="217"/>
      <c r="CF37" s="111">
        <v>-9.1300000000000008</v>
      </c>
      <c r="CG37" s="38">
        <v>-1.27</v>
      </c>
      <c r="CH37" s="38">
        <v>-1.27</v>
      </c>
    </row>
    <row r="38" spans="1:86" s="10" customFormat="1" ht="18" customHeight="1" x14ac:dyDescent="0.2">
      <c r="A38" s="80"/>
      <c r="B38" s="32">
        <v>472</v>
      </c>
      <c r="C38" s="33">
        <v>248.928</v>
      </c>
      <c r="D38" s="34">
        <v>389.95690000000002</v>
      </c>
      <c r="E38" s="35">
        <v>9.0396999999999998</v>
      </c>
      <c r="F38" s="36">
        <v>3.6783999999999999</v>
      </c>
      <c r="G38" s="37">
        <v>0.41</v>
      </c>
      <c r="H38" s="38">
        <v>0.45</v>
      </c>
      <c r="I38" s="37">
        <v>-4.6500000000000004</v>
      </c>
      <c r="J38" s="38">
        <v>-8.6</v>
      </c>
      <c r="K38" s="38">
        <v>15.202999999999999</v>
      </c>
      <c r="L38" s="38">
        <v>5.3193548387096774</v>
      </c>
      <c r="M38" s="38">
        <v>-7.0699999046325681</v>
      </c>
      <c r="N38" s="219"/>
      <c r="O38" s="3"/>
      <c r="P38" s="3"/>
      <c r="Q38" s="3"/>
      <c r="R38" s="4"/>
      <c r="S38" s="4"/>
      <c r="T38" s="4"/>
      <c r="U38" s="178"/>
      <c r="V38" s="3"/>
      <c r="W38" s="3"/>
      <c r="X38" s="3"/>
      <c r="AA38" s="3"/>
      <c r="AB38" s="3"/>
      <c r="AC38" s="3"/>
      <c r="AD38" s="4"/>
      <c r="AE38" s="4"/>
      <c r="AF38" s="4"/>
      <c r="AG38" s="4"/>
      <c r="AH38" s="3"/>
      <c r="AI38" s="3"/>
      <c r="AJ38" s="217"/>
      <c r="CF38" s="111">
        <v>-8.6000000000000014</v>
      </c>
      <c r="CG38" s="38">
        <v>-0.70000000000000018</v>
      </c>
      <c r="CH38" s="38">
        <v>-0.70000000000000018</v>
      </c>
    </row>
    <row r="39" spans="1:86" s="10" customFormat="1" ht="18" customHeight="1" x14ac:dyDescent="0.2">
      <c r="A39" s="80"/>
      <c r="B39" s="32">
        <v>538</v>
      </c>
      <c r="C39" s="33">
        <v>314.928</v>
      </c>
      <c r="D39" s="34">
        <v>455.95690000000002</v>
      </c>
      <c r="E39" s="35">
        <v>5.0658599999999998</v>
      </c>
      <c r="F39" s="36">
        <v>2.4501999999999997</v>
      </c>
      <c r="G39" s="37">
        <v>0.21</v>
      </c>
      <c r="H39" s="38">
        <v>0.25</v>
      </c>
      <c r="I39" s="37">
        <v>-4.2300000000000004</v>
      </c>
      <c r="J39" s="38">
        <v>-8.1999999999999993</v>
      </c>
      <c r="K39" s="38">
        <v>14.863</v>
      </c>
      <c r="L39" s="38">
        <v>5.2021505376344086</v>
      </c>
      <c r="M39" s="38">
        <v>-6.6899999046325682</v>
      </c>
      <c r="N39" s="219"/>
      <c r="O39" s="3"/>
      <c r="P39" s="3"/>
      <c r="Q39" s="3"/>
      <c r="R39" s="4"/>
      <c r="S39" s="4"/>
      <c r="T39" s="4"/>
      <c r="U39" s="178"/>
      <c r="V39" s="3"/>
      <c r="W39" s="3"/>
      <c r="X39" s="3"/>
      <c r="AA39" s="3"/>
      <c r="AB39" s="3"/>
      <c r="AC39" s="3"/>
      <c r="AD39" s="4"/>
      <c r="AE39" s="4"/>
      <c r="AF39" s="4"/>
      <c r="AG39" s="4"/>
      <c r="AH39" s="3"/>
      <c r="AI39" s="3"/>
      <c r="AJ39" s="217"/>
      <c r="CF39" s="111">
        <v>-8.1900000000000013</v>
      </c>
      <c r="CG39" s="38">
        <v>-0.27000000000000046</v>
      </c>
      <c r="CH39" s="38">
        <v>-0.27000000000000046</v>
      </c>
    </row>
    <row r="40" spans="1:86" s="10" customFormat="1" ht="18" customHeight="1" x14ac:dyDescent="0.2">
      <c r="A40" s="80"/>
      <c r="B40" s="32">
        <v>604</v>
      </c>
      <c r="C40" s="33">
        <v>380.928</v>
      </c>
      <c r="D40" s="34">
        <v>521.95690000000002</v>
      </c>
      <c r="E40" s="35">
        <v>2.0814299999999997</v>
      </c>
      <c r="F40" s="36">
        <v>1.2324999999999999</v>
      </c>
      <c r="G40" s="37">
        <v>0.06</v>
      </c>
      <c r="H40" s="38">
        <v>0.1</v>
      </c>
      <c r="I40" s="37">
        <v>-3.91</v>
      </c>
      <c r="J40" s="38">
        <v>-7.88</v>
      </c>
      <c r="K40" s="38">
        <v>14.706</v>
      </c>
      <c r="L40" s="38">
        <v>5.0924731182795693</v>
      </c>
      <c r="M40" s="38">
        <v>-6.3699999046325679</v>
      </c>
      <c r="N40" s="219"/>
      <c r="O40" s="9"/>
      <c r="R40" s="8"/>
      <c r="S40" s="8"/>
      <c r="T40" s="8"/>
      <c r="U40" s="178"/>
      <c r="V40" s="9"/>
      <c r="AA40" s="9"/>
      <c r="AD40" s="8"/>
      <c r="AE40" s="8"/>
      <c r="AF40" s="8"/>
      <c r="AG40" s="8"/>
      <c r="AH40" s="9"/>
      <c r="AJ40" s="217"/>
      <c r="CF40" s="111">
        <v>-7.8800000000000008</v>
      </c>
      <c r="CG40" s="38">
        <v>6.0000000000000053E-2</v>
      </c>
      <c r="CH40" s="38">
        <v>6.0000000000000053E-2</v>
      </c>
    </row>
    <row r="41" spans="1:86" s="10" customFormat="1" ht="18" customHeight="1" x14ac:dyDescent="0.2">
      <c r="A41" s="80"/>
      <c r="B41" s="32">
        <v>670</v>
      </c>
      <c r="C41" s="33">
        <v>446.928</v>
      </c>
      <c r="D41" s="34">
        <v>587.95690000000002</v>
      </c>
      <c r="E41" s="35">
        <v>2.3300699999999996</v>
      </c>
      <c r="F41" s="36">
        <v>1.198</v>
      </c>
      <c r="G41" s="37">
        <v>-0.06</v>
      </c>
      <c r="H41" s="38">
        <v>-0.12</v>
      </c>
      <c r="I41" s="37">
        <v>-3.64</v>
      </c>
      <c r="J41" s="38">
        <v>-7.63</v>
      </c>
      <c r="K41" s="38">
        <v>14.676</v>
      </c>
      <c r="L41" s="38">
        <v>4.9870967741935486</v>
      </c>
      <c r="M41" s="38">
        <v>-6.0899999046325686</v>
      </c>
      <c r="N41" s="219"/>
      <c r="O41" s="9"/>
      <c r="R41" s="5"/>
      <c r="S41" s="6"/>
      <c r="T41" s="6"/>
      <c r="U41" s="178"/>
      <c r="V41" s="9"/>
      <c r="AA41" s="9"/>
      <c r="AD41" s="5"/>
      <c r="AE41" s="6"/>
      <c r="AF41" s="6"/>
      <c r="AG41" s="6"/>
      <c r="AH41" s="9"/>
      <c r="AJ41" s="217"/>
      <c r="CF41" s="111">
        <v>-7.62</v>
      </c>
      <c r="CG41" s="38">
        <v>0.33999999999999986</v>
      </c>
      <c r="CH41" s="38">
        <v>0.33999999999999986</v>
      </c>
    </row>
    <row r="42" spans="1:86" s="10" customFormat="1" ht="18" customHeight="1" x14ac:dyDescent="0.2">
      <c r="A42" s="80"/>
      <c r="B42" s="32">
        <v>736</v>
      </c>
      <c r="C42" s="33">
        <v>512.928</v>
      </c>
      <c r="D42" s="34">
        <v>653.95689999999991</v>
      </c>
      <c r="E42" s="35">
        <v>4.3606699999999998</v>
      </c>
      <c r="F42" s="36">
        <v>2.6475</v>
      </c>
      <c r="G42" s="37">
        <v>-0.16</v>
      </c>
      <c r="H42" s="38">
        <v>-0.22</v>
      </c>
      <c r="I42" s="37">
        <v>-3.43</v>
      </c>
      <c r="J42" s="38">
        <v>-7.42</v>
      </c>
      <c r="K42" s="38">
        <v>14.741</v>
      </c>
      <c r="L42" s="38">
        <v>4.8881720430107523</v>
      </c>
      <c r="M42" s="38">
        <v>-5.8299999046325688</v>
      </c>
      <c r="N42" s="219"/>
      <c r="O42" s="9"/>
      <c r="R42" s="5"/>
      <c r="S42" s="6"/>
      <c r="T42" s="6"/>
      <c r="U42" s="178"/>
      <c r="V42" s="9"/>
      <c r="AA42" s="9"/>
      <c r="AD42" s="5"/>
      <c r="AE42" s="6"/>
      <c r="AF42" s="6"/>
      <c r="AG42" s="6"/>
      <c r="AH42" s="9"/>
      <c r="AJ42" s="217"/>
      <c r="CF42" s="111">
        <v>-7.42</v>
      </c>
      <c r="CG42" s="38">
        <v>0.56000000000000005</v>
      </c>
      <c r="CH42" s="38">
        <v>0.56000000000000005</v>
      </c>
    </row>
    <row r="43" spans="1:86" s="10" customFormat="1" ht="18" customHeight="1" x14ac:dyDescent="0.2">
      <c r="A43" s="80"/>
      <c r="B43" s="32">
        <v>802</v>
      </c>
      <c r="C43" s="33">
        <v>578.928</v>
      </c>
      <c r="D43" s="34">
        <v>719.95690000000002</v>
      </c>
      <c r="E43" s="35">
        <v>6.03634</v>
      </c>
      <c r="F43" s="36">
        <v>4.1060999999999996</v>
      </c>
      <c r="G43" s="37">
        <v>-0.24</v>
      </c>
      <c r="H43" s="38">
        <v>-0.3</v>
      </c>
      <c r="I43" s="37">
        <v>-3.24</v>
      </c>
      <c r="J43" s="38">
        <v>-7.24</v>
      </c>
      <c r="K43" s="38">
        <v>14.878</v>
      </c>
      <c r="L43" s="38">
        <v>4.7946236559139779</v>
      </c>
      <c r="M43" s="38">
        <v>-5.5799999046325688</v>
      </c>
      <c r="N43" s="219"/>
      <c r="O43" s="9"/>
      <c r="R43" s="5"/>
      <c r="S43" s="6"/>
      <c r="T43" s="6"/>
      <c r="U43" s="178"/>
      <c r="V43" s="9"/>
      <c r="AA43" s="9"/>
      <c r="AD43" s="5"/>
      <c r="AE43" s="6"/>
      <c r="AF43" s="6"/>
      <c r="AG43" s="6"/>
      <c r="AH43" s="9"/>
      <c r="AJ43" s="217"/>
      <c r="CF43" s="111">
        <v>-7.24</v>
      </c>
      <c r="CG43" s="38">
        <v>0.75999999999999979</v>
      </c>
      <c r="CH43" s="38">
        <v>0.75999999999999979</v>
      </c>
    </row>
    <row r="44" spans="1:86" s="10" customFormat="1" ht="18" customHeight="1" thickBot="1" x14ac:dyDescent="0.25">
      <c r="A44" s="81"/>
      <c r="B44" s="39">
        <v>868</v>
      </c>
      <c r="C44" s="40">
        <v>644.928</v>
      </c>
      <c r="D44" s="41">
        <v>785.95689999999991</v>
      </c>
      <c r="E44" s="42">
        <v>7.4416799999999999</v>
      </c>
      <c r="F44" s="43">
        <v>5.5722000000000005</v>
      </c>
      <c r="G44" s="44">
        <v>-0.31</v>
      </c>
      <c r="H44" s="45">
        <v>-0.37</v>
      </c>
      <c r="I44" s="44">
        <v>-3.09</v>
      </c>
      <c r="J44" s="45">
        <v>-7.1</v>
      </c>
      <c r="K44" s="45">
        <v>15.071</v>
      </c>
      <c r="L44" s="45">
        <v>4.7064516129032254</v>
      </c>
      <c r="M44" s="45">
        <v>-5.3399999046325686</v>
      </c>
      <c r="N44" s="219"/>
      <c r="O44" s="9"/>
      <c r="R44" s="5"/>
      <c r="S44" s="6"/>
      <c r="T44" s="6"/>
      <c r="U44" s="178"/>
      <c r="V44" s="9"/>
      <c r="AA44" s="9"/>
      <c r="AD44" s="5"/>
      <c r="AE44" s="6"/>
      <c r="AF44" s="6"/>
      <c r="AG44" s="6"/>
      <c r="AH44" s="9"/>
      <c r="AJ44" s="217"/>
      <c r="CF44" s="112">
        <v>-7.1</v>
      </c>
      <c r="CG44" s="45">
        <v>0.91999999999999993</v>
      </c>
      <c r="CH44" s="45">
        <v>0.91999999999999993</v>
      </c>
    </row>
    <row r="45" spans="1:86" s="10" customFormat="1" ht="18" customHeight="1" x14ac:dyDescent="0.2">
      <c r="A45" s="78">
        <v>0</v>
      </c>
      <c r="B45" s="24">
        <v>340</v>
      </c>
      <c r="C45" s="25">
        <v>116.928</v>
      </c>
      <c r="D45" s="26">
        <v>257.95690000000002</v>
      </c>
      <c r="E45" s="27">
        <v>46.508600000000001</v>
      </c>
      <c r="F45" s="28">
        <v>12.364000000000001</v>
      </c>
      <c r="G45" s="29">
        <v>2.2999999999999998</v>
      </c>
      <c r="H45" s="30">
        <v>2.33</v>
      </c>
      <c r="I45" s="29">
        <v>-5.03</v>
      </c>
      <c r="J45" s="30">
        <v>-8.93</v>
      </c>
      <c r="K45" s="30">
        <v>15.34</v>
      </c>
      <c r="L45" s="30">
        <v>5.5731182795698926</v>
      </c>
      <c r="M45" s="30">
        <v>-7.9199999046325686</v>
      </c>
      <c r="N45" s="219"/>
      <c r="O45" s="9"/>
      <c r="R45" s="5"/>
      <c r="S45" s="6"/>
      <c r="T45" s="6"/>
      <c r="U45" s="178"/>
      <c r="V45" s="9"/>
      <c r="AA45" s="9"/>
      <c r="AD45" s="5"/>
      <c r="AE45" s="6"/>
      <c r="AF45" s="6"/>
      <c r="AG45" s="6"/>
      <c r="AH45" s="9"/>
      <c r="AJ45" s="217"/>
      <c r="CF45" s="110">
        <v>-8.93</v>
      </c>
      <c r="CG45" s="30">
        <v>-1.1300000000000003</v>
      </c>
      <c r="CH45" s="30">
        <v>-1.1300000000000003</v>
      </c>
    </row>
    <row r="46" spans="1:86" s="10" customFormat="1" ht="18" customHeight="1" x14ac:dyDescent="0.2">
      <c r="A46" s="80"/>
      <c r="B46" s="32">
        <v>406</v>
      </c>
      <c r="C46" s="33">
        <v>182.928</v>
      </c>
      <c r="D46" s="34">
        <v>323.95689999999996</v>
      </c>
      <c r="E46" s="35">
        <v>37.859499999999997</v>
      </c>
      <c r="F46" s="36">
        <v>12.446999999999999</v>
      </c>
      <c r="G46" s="37">
        <v>1.86</v>
      </c>
      <c r="H46" s="38">
        <v>1.89</v>
      </c>
      <c r="I46" s="37">
        <v>-4.25</v>
      </c>
      <c r="J46" s="38">
        <v>-8.18</v>
      </c>
      <c r="K46" s="38">
        <v>14.326000000000001</v>
      </c>
      <c r="L46" s="38">
        <v>5.4430107526881724</v>
      </c>
      <c r="M46" s="38">
        <v>-7.2199999046325685</v>
      </c>
      <c r="N46" s="219"/>
      <c r="O46" s="9"/>
      <c r="R46" s="5"/>
      <c r="S46" s="6"/>
      <c r="T46" s="6"/>
      <c r="U46" s="178"/>
      <c r="V46" s="9"/>
      <c r="AA46" s="9"/>
      <c r="AD46" s="5"/>
      <c r="AE46" s="6"/>
      <c r="AF46" s="6"/>
      <c r="AG46" s="6"/>
      <c r="AH46" s="9"/>
      <c r="AJ46" s="217"/>
      <c r="CF46" s="111">
        <v>-8.18</v>
      </c>
      <c r="CG46" s="38">
        <v>-0.31999999999999984</v>
      </c>
      <c r="CH46" s="38">
        <v>-0.31999999999999984</v>
      </c>
    </row>
    <row r="47" spans="1:86" s="10" customFormat="1" ht="18" customHeight="1" x14ac:dyDescent="0.2">
      <c r="A47" s="80"/>
      <c r="B47" s="32">
        <v>472</v>
      </c>
      <c r="C47" s="33">
        <v>248.928</v>
      </c>
      <c r="D47" s="34">
        <v>389.95690000000002</v>
      </c>
      <c r="E47" s="35">
        <v>32.006599999999999</v>
      </c>
      <c r="F47" s="36">
        <v>12.540000000000003</v>
      </c>
      <c r="G47" s="37">
        <v>1.56</v>
      </c>
      <c r="H47" s="38">
        <v>1.6</v>
      </c>
      <c r="I47" s="37">
        <v>-3.69</v>
      </c>
      <c r="J47" s="38">
        <v>-7.63</v>
      </c>
      <c r="K47" s="38">
        <v>13.744999999999999</v>
      </c>
      <c r="L47" s="38">
        <v>5.3193548387096774</v>
      </c>
      <c r="M47" s="38">
        <v>-6.7199999046325685</v>
      </c>
      <c r="N47" s="219"/>
      <c r="O47" s="9"/>
      <c r="R47" s="5"/>
      <c r="S47" s="6"/>
      <c r="T47" s="6"/>
      <c r="U47" s="178"/>
      <c r="V47" s="9"/>
      <c r="AA47" s="9"/>
      <c r="AD47" s="5"/>
      <c r="AE47" s="6"/>
      <c r="AF47" s="6"/>
      <c r="AG47" s="6"/>
      <c r="AH47" s="9"/>
      <c r="AJ47" s="217"/>
      <c r="CF47" s="111">
        <v>-7.6400000000000006</v>
      </c>
      <c r="CG47" s="38">
        <v>0.26000000000000023</v>
      </c>
      <c r="CH47" s="38">
        <v>0.26000000000000023</v>
      </c>
    </row>
    <row r="48" spans="1:86" s="10" customFormat="1" ht="18" customHeight="1" x14ac:dyDescent="0.2">
      <c r="A48" s="80"/>
      <c r="B48" s="32">
        <v>538</v>
      </c>
      <c r="C48" s="33">
        <v>314.928</v>
      </c>
      <c r="D48" s="34">
        <v>455.95690000000002</v>
      </c>
      <c r="E48" s="35">
        <v>27.7895</v>
      </c>
      <c r="F48" s="36">
        <v>12.641999999999999</v>
      </c>
      <c r="G48" s="37">
        <v>1.35</v>
      </c>
      <c r="H48" s="38">
        <v>1.39</v>
      </c>
      <c r="I48" s="37">
        <v>-3.26</v>
      </c>
      <c r="J48" s="38">
        <v>-7.22</v>
      </c>
      <c r="K48" s="38">
        <v>13.436</v>
      </c>
      <c r="L48" s="38">
        <v>5.2021505376344086</v>
      </c>
      <c r="M48" s="38">
        <v>-6.3399999046325686</v>
      </c>
      <c r="N48" s="219"/>
      <c r="O48" s="9"/>
      <c r="R48" s="5"/>
      <c r="S48" s="6"/>
      <c r="T48" s="6"/>
      <c r="U48" s="178"/>
      <c r="V48" s="9"/>
      <c r="AA48" s="9"/>
      <c r="AD48" s="5"/>
      <c r="AE48" s="6"/>
      <c r="AF48" s="6"/>
      <c r="AG48" s="6"/>
      <c r="AH48" s="9"/>
      <c r="AJ48" s="217"/>
      <c r="CF48" s="111">
        <v>-7.22</v>
      </c>
      <c r="CG48" s="38">
        <v>0.70000000000000018</v>
      </c>
      <c r="CH48" s="38">
        <v>0.70000000000000018</v>
      </c>
    </row>
    <row r="49" spans="1:86" s="10" customFormat="1" ht="18" customHeight="1" x14ac:dyDescent="0.2">
      <c r="A49" s="80"/>
      <c r="B49" s="32">
        <v>604</v>
      </c>
      <c r="C49" s="33">
        <v>380.928</v>
      </c>
      <c r="D49" s="34">
        <v>521.95690000000002</v>
      </c>
      <c r="E49" s="35">
        <v>24.6112</v>
      </c>
      <c r="F49" s="36">
        <v>12.755000000000001</v>
      </c>
      <c r="G49" s="37">
        <v>1.18</v>
      </c>
      <c r="H49" s="38">
        <v>1.23</v>
      </c>
      <c r="I49" s="37">
        <v>-2.92</v>
      </c>
      <c r="J49" s="38">
        <v>-6.9</v>
      </c>
      <c r="K49" s="38">
        <v>13.308</v>
      </c>
      <c r="L49" s="38">
        <v>5.0924731182795693</v>
      </c>
      <c r="M49" s="38">
        <v>-6.0199999046325683</v>
      </c>
      <c r="N49" s="219"/>
      <c r="O49" s="9"/>
      <c r="R49" s="5"/>
      <c r="S49" s="6"/>
      <c r="T49" s="6"/>
      <c r="U49" s="178"/>
      <c r="V49" s="9"/>
      <c r="AA49" s="9"/>
      <c r="AD49" s="5"/>
      <c r="AE49" s="6"/>
      <c r="AF49" s="6"/>
      <c r="AG49" s="6"/>
      <c r="AH49" s="9"/>
      <c r="AJ49" s="217"/>
      <c r="CF49" s="111">
        <v>-6.8900000000000006</v>
      </c>
      <c r="CG49" s="38">
        <v>1.0500000000000003</v>
      </c>
      <c r="CH49" s="38">
        <v>1.0500000000000003</v>
      </c>
    </row>
    <row r="50" spans="1:86" s="10" customFormat="1" ht="18" customHeight="1" x14ac:dyDescent="0.2">
      <c r="A50" s="80"/>
      <c r="B50" s="32">
        <v>670</v>
      </c>
      <c r="C50" s="33">
        <v>446.928</v>
      </c>
      <c r="D50" s="34">
        <v>587.95690000000002</v>
      </c>
      <c r="E50" s="35">
        <v>22.133200000000002</v>
      </c>
      <c r="F50" s="36">
        <v>12.876000000000001</v>
      </c>
      <c r="G50" s="37">
        <v>1.05</v>
      </c>
      <c r="H50" s="38">
        <v>1.1100000000000001</v>
      </c>
      <c r="I50" s="37">
        <v>-2.65</v>
      </c>
      <c r="J50" s="38">
        <v>-6.63</v>
      </c>
      <c r="K50" s="38">
        <v>13.307</v>
      </c>
      <c r="L50" s="38">
        <v>4.9870967741935486</v>
      </c>
      <c r="M50" s="38">
        <v>-5.739999904632568</v>
      </c>
      <c r="N50" s="219"/>
      <c r="O50" s="9"/>
      <c r="R50" s="5"/>
      <c r="S50" s="6"/>
      <c r="T50" s="6"/>
      <c r="U50" s="178"/>
      <c r="V50" s="9"/>
      <c r="AA50" s="9"/>
      <c r="AD50" s="5"/>
      <c r="AE50" s="6"/>
      <c r="AF50" s="6"/>
      <c r="AG50" s="6"/>
      <c r="AH50" s="9"/>
      <c r="AJ50" s="217"/>
      <c r="CF50" s="111">
        <v>-6.63</v>
      </c>
      <c r="CG50" s="38">
        <v>1.33</v>
      </c>
      <c r="CH50" s="38">
        <v>1.33</v>
      </c>
    </row>
    <row r="51" spans="1:86" s="10" customFormat="1" ht="18" customHeight="1" x14ac:dyDescent="0.2">
      <c r="A51" s="80"/>
      <c r="B51" s="32">
        <v>736</v>
      </c>
      <c r="C51" s="33">
        <v>512.928</v>
      </c>
      <c r="D51" s="34">
        <v>653.95689999999991</v>
      </c>
      <c r="E51" s="35">
        <v>20.150100000000002</v>
      </c>
      <c r="F51" s="36">
        <v>13.007</v>
      </c>
      <c r="G51" s="37">
        <v>0.95</v>
      </c>
      <c r="H51" s="38">
        <v>1.01</v>
      </c>
      <c r="I51" s="37">
        <v>-2.42</v>
      </c>
      <c r="J51" s="38">
        <v>-6.42</v>
      </c>
      <c r="K51" s="38">
        <v>13.398999999999999</v>
      </c>
      <c r="L51" s="38">
        <v>4.8881720430107523</v>
      </c>
      <c r="M51" s="38">
        <v>-5.4699999046325685</v>
      </c>
      <c r="N51" s="219"/>
      <c r="O51" s="9"/>
      <c r="R51" s="5"/>
      <c r="S51" s="6"/>
      <c r="T51" s="6"/>
      <c r="U51" s="178"/>
      <c r="V51" s="9"/>
      <c r="AA51" s="9"/>
      <c r="AD51" s="5"/>
      <c r="AE51" s="6"/>
      <c r="AF51" s="6"/>
      <c r="AG51" s="6"/>
      <c r="AH51" s="9"/>
      <c r="AJ51" s="217"/>
      <c r="BK51" s="10" t="s">
        <v>47</v>
      </c>
      <c r="BM51" s="107" t="e">
        <f>MIN(BQ57,AS6)</f>
        <v>#N/A</v>
      </c>
      <c r="CF51" s="111">
        <v>-6.41</v>
      </c>
      <c r="CG51" s="38">
        <v>1.5700000000000003</v>
      </c>
      <c r="CH51" s="38">
        <v>1.5700000000000003</v>
      </c>
    </row>
    <row r="52" spans="1:86" s="10" customFormat="1" ht="18" customHeight="1" x14ac:dyDescent="0.2">
      <c r="A52" s="83"/>
      <c r="B52" s="32">
        <v>802</v>
      </c>
      <c r="C52" s="33">
        <v>578.928</v>
      </c>
      <c r="D52" s="34">
        <v>719.95690000000002</v>
      </c>
      <c r="E52" s="35">
        <v>18.5288</v>
      </c>
      <c r="F52" s="36">
        <v>13.146000000000001</v>
      </c>
      <c r="G52" s="32">
        <v>0.87</v>
      </c>
      <c r="H52" s="47">
        <v>0.93</v>
      </c>
      <c r="I52" s="32">
        <v>-2.23</v>
      </c>
      <c r="J52" s="47">
        <v>-6.24</v>
      </c>
      <c r="K52" s="38">
        <v>13.561999999999999</v>
      </c>
      <c r="L52" s="38">
        <v>4.7946236559139779</v>
      </c>
      <c r="M52" s="38">
        <v>-5.2299999046325683</v>
      </c>
      <c r="N52" s="219"/>
      <c r="O52" s="9"/>
      <c r="R52" s="5"/>
      <c r="S52" s="6"/>
      <c r="T52" s="6"/>
      <c r="U52" s="178"/>
      <c r="V52" s="9"/>
      <c r="AA52" s="9"/>
      <c r="AD52" s="5"/>
      <c r="AE52" s="6"/>
      <c r="AF52" s="6"/>
      <c r="AG52" s="6"/>
      <c r="AH52" s="9"/>
      <c r="AJ52" s="217"/>
      <c r="BK52" s="10" t="s">
        <v>46</v>
      </c>
      <c r="BM52" s="98">
        <f>BD9*BD6</f>
        <v>340.50036119806811</v>
      </c>
      <c r="CF52" s="114">
        <v>-6.23</v>
      </c>
      <c r="CG52" s="47">
        <v>1.77</v>
      </c>
      <c r="CH52" s="47">
        <v>1.77</v>
      </c>
    </row>
    <row r="53" spans="1:86" s="10" customFormat="1" ht="18" customHeight="1" thickBot="1" x14ac:dyDescent="0.25">
      <c r="A53" s="82"/>
      <c r="B53" s="39">
        <v>868</v>
      </c>
      <c r="C53" s="40">
        <v>644.928</v>
      </c>
      <c r="D53" s="41">
        <v>785.95689999999991</v>
      </c>
      <c r="E53" s="42">
        <v>17.179299999999998</v>
      </c>
      <c r="F53" s="43">
        <v>13.292000000000002</v>
      </c>
      <c r="G53" s="44">
        <v>0.79</v>
      </c>
      <c r="H53" s="46">
        <v>0.86</v>
      </c>
      <c r="I53" s="39">
        <v>-2.0699999999999998</v>
      </c>
      <c r="J53" s="46">
        <v>-6.08</v>
      </c>
      <c r="K53" s="45">
        <v>13.78</v>
      </c>
      <c r="L53" s="45">
        <v>4.7064516129032254</v>
      </c>
      <c r="M53" s="45">
        <v>-4.9899999046325689</v>
      </c>
      <c r="N53" s="219"/>
      <c r="O53" s="3"/>
      <c r="P53" s="3"/>
      <c r="Q53" s="3"/>
      <c r="R53" s="4"/>
      <c r="S53" s="4"/>
      <c r="T53" s="4"/>
      <c r="U53" s="178"/>
      <c r="V53" s="3"/>
      <c r="W53" s="3"/>
      <c r="X53" s="3"/>
      <c r="AA53" s="3"/>
      <c r="AB53" s="3"/>
      <c r="AC53" s="3"/>
      <c r="AD53" s="4"/>
      <c r="AE53" s="4"/>
      <c r="AF53" s="4"/>
      <c r="AG53" s="4"/>
      <c r="AH53" s="3"/>
      <c r="AI53" s="3"/>
      <c r="AJ53" s="217"/>
      <c r="AU53" s="201" t="s">
        <v>92</v>
      </c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123"/>
      <c r="CF53" s="113">
        <v>-6.08</v>
      </c>
      <c r="CG53" s="46">
        <v>1.94</v>
      </c>
      <c r="CH53" s="46">
        <v>1.94</v>
      </c>
    </row>
    <row r="54" spans="1:86" s="10" customFormat="1" ht="18" customHeight="1" thickBot="1" x14ac:dyDescent="0.3">
      <c r="A54" s="172" t="str">
        <f>A2</f>
        <v>Noble Leo Segerius Drillship (Alum) / Riser Analysis Detailed Results</v>
      </c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31"/>
      <c r="O54" s="172" t="str">
        <f>O2</f>
        <v>Noble Leo Segerius Drillship (Alum) / Riser Analysis Detailed Results</v>
      </c>
      <c r="P54" s="172"/>
      <c r="Q54" s="172"/>
      <c r="R54" s="172"/>
      <c r="S54" s="172"/>
      <c r="T54" s="172"/>
      <c r="U54" s="172"/>
      <c r="V54" s="172"/>
      <c r="W54" s="172"/>
      <c r="X54" s="172"/>
      <c r="AA54" s="191" t="s">
        <v>94</v>
      </c>
      <c r="AB54" s="191"/>
      <c r="AC54" s="191"/>
      <c r="AD54" s="191"/>
      <c r="AE54" s="191"/>
      <c r="AF54" s="191"/>
      <c r="AG54" s="191"/>
      <c r="AH54" s="191"/>
      <c r="AI54" s="191"/>
      <c r="AJ54" s="191"/>
      <c r="AK54" s="123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123"/>
    </row>
    <row r="55" spans="1:86" s="10" customFormat="1" ht="18" customHeight="1" x14ac:dyDescent="0.25">
      <c r="A55" s="173" t="str">
        <f>A3</f>
        <v>3799 ft Water Depth / 1-Year Storm, Wave &amp; Current from S Direction / RWF=1.00,BRF=0.96</v>
      </c>
      <c r="B55" s="173"/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31"/>
      <c r="O55" s="173" t="str">
        <f>O3</f>
        <v>3799 ft Water Depth / 1-Year Storm, Wave &amp; Current from S Direction / RWF=1.00,BRF=0.96</v>
      </c>
      <c r="P55" s="173"/>
      <c r="Q55" s="173"/>
      <c r="R55" s="173"/>
      <c r="S55" s="173"/>
      <c r="T55" s="173"/>
      <c r="U55" s="173"/>
      <c r="V55" s="173"/>
      <c r="W55" s="173"/>
      <c r="X55" s="173"/>
      <c r="AA55" s="186" t="str">
        <f>AA3</f>
        <v>3799 ft Water Depth / 1-Year Storm, Wave &amp; Current from S Direction / RWF=1.00,BRF=0.96</v>
      </c>
      <c r="AB55" s="186"/>
      <c r="AC55" s="186"/>
      <c r="AD55" s="186"/>
      <c r="AE55" s="186"/>
      <c r="AF55" s="186"/>
      <c r="AG55" s="186"/>
      <c r="AH55" s="186"/>
      <c r="AI55" s="186"/>
      <c r="AJ55" s="186"/>
      <c r="AK55" s="123"/>
      <c r="AU55" s="198" t="s">
        <v>39</v>
      </c>
      <c r="AV55" s="199"/>
      <c r="AW55" s="200"/>
      <c r="AX55" s="198" t="s">
        <v>40</v>
      </c>
      <c r="AY55" s="199"/>
      <c r="AZ55" s="200"/>
      <c r="BA55" s="198" t="s">
        <v>91</v>
      </c>
      <c r="BB55" s="199"/>
      <c r="BC55" s="199"/>
      <c r="BD55" s="199"/>
      <c r="BE55" s="199"/>
      <c r="BF55" s="200"/>
      <c r="BG55" s="123"/>
      <c r="BK55" s="101">
        <f>MAX(K9:K53,K60:K104)</f>
        <v>21.427</v>
      </c>
      <c r="BL55" s="101">
        <f>MAX(L9:L53,L60:L104)</f>
        <v>5.5731182795698926</v>
      </c>
    </row>
    <row r="56" spans="1:86" s="10" customFormat="1" ht="18" customHeight="1" thickBot="1" x14ac:dyDescent="0.3">
      <c r="A56" s="173" t="str">
        <f>A4</f>
        <v>3.13 knot Surface Current /  Mud Weight = 9 PPG / 12 x 80 kips</v>
      </c>
      <c r="B56" s="173"/>
      <c r="C56" s="173"/>
      <c r="D56" s="173"/>
      <c r="E56" s="173"/>
      <c r="F56" s="173"/>
      <c r="G56" s="173"/>
      <c r="H56" s="173"/>
      <c r="I56" s="173"/>
      <c r="J56" s="173"/>
      <c r="K56" s="173"/>
      <c r="L56" s="173"/>
      <c r="M56" s="173"/>
      <c r="N56" s="173"/>
      <c r="O56" s="173" t="str">
        <f>O4</f>
        <v>3.13 knot Surface Current /  Mud Weight = 9 PPG / 12 x 80 kips</v>
      </c>
      <c r="P56" s="173"/>
      <c r="Q56" s="173"/>
      <c r="R56" s="173"/>
      <c r="S56" s="173"/>
      <c r="T56" s="173"/>
      <c r="U56" s="173"/>
      <c r="V56" s="173"/>
      <c r="W56" s="173"/>
      <c r="X56" s="173"/>
      <c r="AA56" s="186" t="str">
        <f>AA4</f>
        <v>3.13 knot Surface Current /  Mud Weight = 9 PPG / 12 x 80 kips</v>
      </c>
      <c r="AB56" s="186"/>
      <c r="AC56" s="186"/>
      <c r="AD56" s="186"/>
      <c r="AE56" s="186"/>
      <c r="AF56" s="186"/>
      <c r="AG56" s="186"/>
      <c r="AH56" s="186"/>
      <c r="AI56" s="186"/>
      <c r="AJ56" s="186"/>
      <c r="AK56" s="123"/>
      <c r="AU56" s="194" t="str">
        <f>ROUND(AT3,1)&amp;" ft"</f>
        <v>3799 ft</v>
      </c>
      <c r="AV56" s="195"/>
      <c r="AW56" s="196"/>
      <c r="AX56" s="194" t="str">
        <f>AQ3&amp;" PPG"</f>
        <v>9 PPG</v>
      </c>
      <c r="AY56" s="195"/>
      <c r="AZ56" s="196"/>
      <c r="BA56" s="194" t="s">
        <v>96</v>
      </c>
      <c r="BB56" s="195"/>
      <c r="BC56" s="195"/>
      <c r="BD56" s="195"/>
      <c r="BE56" s="195"/>
      <c r="BF56" s="196"/>
      <c r="BG56" s="123"/>
      <c r="BK56" s="10" t="s">
        <v>82</v>
      </c>
      <c r="BL56" s="10" t="s">
        <v>83</v>
      </c>
      <c r="BQ56" s="10" t="s">
        <v>84</v>
      </c>
      <c r="BV56" s="10" t="s">
        <v>81</v>
      </c>
      <c r="BY56" s="10" t="s">
        <v>85</v>
      </c>
    </row>
    <row r="57" spans="1:86" ht="18" customHeight="1" thickBot="1" x14ac:dyDescent="0.25">
      <c r="A57" s="189" t="s">
        <v>0</v>
      </c>
      <c r="B57" s="176" t="s">
        <v>15</v>
      </c>
      <c r="C57" s="176" t="s">
        <v>16</v>
      </c>
      <c r="D57" s="181" t="s">
        <v>17</v>
      </c>
      <c r="E57" s="176" t="s">
        <v>12</v>
      </c>
      <c r="F57" s="181" t="s">
        <v>2</v>
      </c>
      <c r="G57" s="176" t="s">
        <v>7</v>
      </c>
      <c r="H57" s="181" t="s">
        <v>6</v>
      </c>
      <c r="I57" s="176" t="s">
        <v>9</v>
      </c>
      <c r="J57" s="181" t="s">
        <v>8</v>
      </c>
      <c r="K57" s="183" t="s">
        <v>13</v>
      </c>
      <c r="L57" s="179" t="s">
        <v>48</v>
      </c>
      <c r="M57" s="183" t="s">
        <v>14</v>
      </c>
      <c r="N57" s="185"/>
      <c r="O57" s="3"/>
      <c r="P57" s="3"/>
      <c r="Q57" s="3"/>
      <c r="R57" s="4"/>
      <c r="S57" s="4"/>
      <c r="T57" s="4"/>
      <c r="U57" s="178"/>
      <c r="V57" s="3"/>
      <c r="W57" s="3"/>
      <c r="X57" s="3"/>
      <c r="AA57" s="124"/>
      <c r="AB57" s="124"/>
      <c r="AC57" s="124"/>
      <c r="AD57" s="124"/>
      <c r="AE57" s="124"/>
      <c r="AF57" s="124"/>
      <c r="AG57" s="124"/>
      <c r="AH57" s="124"/>
      <c r="AI57" s="124"/>
      <c r="AJ57" s="197"/>
      <c r="AK57" s="197"/>
      <c r="AU57" s="124"/>
      <c r="AV57" s="124"/>
      <c r="AW57" s="124"/>
      <c r="AX57" s="124"/>
      <c r="AY57" s="124"/>
      <c r="AZ57" s="124"/>
      <c r="BA57" s="124"/>
      <c r="BB57" s="124"/>
      <c r="BC57" s="124"/>
      <c r="BD57" s="124"/>
      <c r="BE57" s="124"/>
      <c r="BF57" s="197"/>
      <c r="BG57" s="197"/>
      <c r="BK57" s="102">
        <v>0.5</v>
      </c>
      <c r="BL57" s="102" t="e">
        <f>IF(BK58=BM58,BL58,(BN58-BL58)/(BM58-BK58)*(BK57-BK58)+BL58)</f>
        <v>#N/A</v>
      </c>
      <c r="BM57" s="100" t="e">
        <f>BL57/($BD6-1)*$BD6</f>
        <v>#N/A</v>
      </c>
      <c r="BN57" s="103" t="e">
        <f>IF(BM85=BK85,BL85,(BN85-BL85)/(BM85-BK85)*(BL57-BK85)+BL85)</f>
        <v>#N/A</v>
      </c>
      <c r="BP57" s="102">
        <v>0.5</v>
      </c>
      <c r="BQ57" s="102" t="e">
        <f>IF(BR58=BP58,BQ58,(BS58-BQ58)/(BR58-BP58)*(BP57-BP58)+BQ58)</f>
        <v>#N/A</v>
      </c>
      <c r="BR57" s="100" t="e">
        <f>BQ57/($BD6-1)*$BD6</f>
        <v>#N/A</v>
      </c>
      <c r="BS57" s="103" t="e">
        <f>IF(BR85=BP85,BQ85,(BS85-BQ85)/(BR85-BP85)*(BQ57-BP85)+BQ85)</f>
        <v>#N/A</v>
      </c>
      <c r="BV57" s="104" t="e">
        <f>MAX(BM51,BM52)</f>
        <v>#N/A</v>
      </c>
      <c r="BW57" s="100" t="e">
        <f>IF(BV58=BY58,BW58,(BZ58-BW58)/(BY58-BV58)*(BV57-BV58)+BW58)</f>
        <v>#N/A</v>
      </c>
      <c r="BX57" s="100" t="e">
        <f>IF(BV58=BY58,BX58,(CA58-BX58)/(BY58-BV58)*(BV57-BV58)+BX58)</f>
        <v>#N/A</v>
      </c>
      <c r="BY57" s="102" t="e">
        <f>(BX57-BW57)/2</f>
        <v>#N/A</v>
      </c>
      <c r="CF57" s="192" t="s">
        <v>99</v>
      </c>
      <c r="CG57" s="181" t="s">
        <v>100</v>
      </c>
      <c r="CH57" s="181" t="s">
        <v>111</v>
      </c>
    </row>
    <row r="58" spans="1:86" ht="18" customHeight="1" thickBot="1" x14ac:dyDescent="0.25">
      <c r="A58" s="190"/>
      <c r="B58" s="177"/>
      <c r="C58" s="177"/>
      <c r="D58" s="182"/>
      <c r="E58" s="177"/>
      <c r="F58" s="182"/>
      <c r="G58" s="177"/>
      <c r="H58" s="182"/>
      <c r="I58" s="177"/>
      <c r="J58" s="182"/>
      <c r="K58" s="184"/>
      <c r="L58" s="180"/>
      <c r="M58" s="184"/>
      <c r="N58" s="185"/>
      <c r="O58" s="3"/>
      <c r="P58" s="3"/>
      <c r="Q58" s="3"/>
      <c r="R58" s="4"/>
      <c r="S58" s="4"/>
      <c r="T58" s="4"/>
      <c r="U58" s="178"/>
      <c r="V58" s="3"/>
      <c r="W58" s="3"/>
      <c r="X58" s="3"/>
      <c r="AA58" s="215" t="s">
        <v>22</v>
      </c>
      <c r="AB58" s="216"/>
      <c r="AC58" s="153" t="s">
        <v>24</v>
      </c>
      <c r="AD58" s="163"/>
      <c r="AE58" s="153" t="s">
        <v>35</v>
      </c>
      <c r="AF58" s="163"/>
      <c r="AG58" s="153" t="s">
        <v>25</v>
      </c>
      <c r="AH58" s="163"/>
      <c r="AI58" s="153" t="s">
        <v>26</v>
      </c>
      <c r="AJ58" s="163"/>
      <c r="AK58" s="152"/>
      <c r="AU58" s="215" t="s">
        <v>22</v>
      </c>
      <c r="AV58" s="216"/>
      <c r="AW58" s="153" t="s">
        <v>38</v>
      </c>
      <c r="AX58" s="154"/>
      <c r="AY58" s="154"/>
      <c r="AZ58" s="163"/>
      <c r="BA58" s="153" t="str">
        <f xml:space="preserve"> "+Offset Direction"</f>
        <v>+Offset Direction</v>
      </c>
      <c r="BB58" s="154"/>
      <c r="BC58" s="154"/>
      <c r="BD58" s="154"/>
      <c r="BE58" s="153" t="s">
        <v>41</v>
      </c>
      <c r="BF58" s="163"/>
      <c r="BG58" s="197"/>
      <c r="BK58" s="1">
        <f>VLOOKUP($BK$57,BK59:BL69,1)</f>
        <v>-2.980586293923511</v>
      </c>
      <c r="BL58" s="1">
        <f>VLOOKUP($BK$57,BK59:BL69,2)</f>
        <v>934</v>
      </c>
      <c r="BM58" s="1" t="e">
        <f>-VLOOKUP(-$BK$57,$BM$59:$BN$69,1)</f>
        <v>#N/A</v>
      </c>
      <c r="BN58" s="1" t="e">
        <f>VLOOKUP(-$BK$57,$BM$59:$BN$69,2)</f>
        <v>#N/A</v>
      </c>
      <c r="BP58" s="1">
        <f>VLOOKUP($BP$57,BP59:BQ69,1)</f>
        <v>-2.980586293923511</v>
      </c>
      <c r="BQ58" s="1">
        <f>VLOOKUP($BP$57,BP59:BQ69,2)</f>
        <v>934</v>
      </c>
      <c r="BR58" s="1" t="e">
        <f>-VLOOKUP(-$BP$57,$BR$59:$BS$69,1)</f>
        <v>#N/A</v>
      </c>
      <c r="BS58" s="1" t="e">
        <f>VLOOKUP(-$BP$57,$BR$59:$BS$69,2)</f>
        <v>#N/A</v>
      </c>
      <c r="BV58" s="1" t="e">
        <f>VLOOKUP($BV$57,$BV60:$BX68,1)</f>
        <v>#N/A</v>
      </c>
      <c r="BW58" s="1" t="e">
        <f>VLOOKUP($BV$57,$BV60:$BX68,2)</f>
        <v>#N/A</v>
      </c>
      <c r="BX58" s="1" t="e">
        <f>VLOOKUP($BV$57,$BV60:$BX68,3)</f>
        <v>#N/A</v>
      </c>
      <c r="BY58" s="1" t="e">
        <f>-VLOOKUP(-$BV$57,$BY60:$CA68,1)</f>
        <v>#N/A</v>
      </c>
      <c r="BZ58" s="1" t="e">
        <f>VLOOKUP(-$BV$57,$BY60:$CA68,2)</f>
        <v>#N/A</v>
      </c>
      <c r="CA58" s="1" t="e">
        <f>VLOOKUP(-$BV$57,$BY60:$CA68,3)</f>
        <v>#N/A</v>
      </c>
      <c r="CF58" s="193"/>
      <c r="CG58" s="182"/>
      <c r="CH58" s="182"/>
    </row>
    <row r="59" spans="1:86" ht="18" customHeight="1" thickBot="1" x14ac:dyDescent="0.25">
      <c r="A59" s="65" t="s">
        <v>1</v>
      </c>
      <c r="B59" s="21" t="s">
        <v>3</v>
      </c>
      <c r="C59" s="21" t="s">
        <v>3</v>
      </c>
      <c r="D59" s="22" t="s">
        <v>3</v>
      </c>
      <c r="E59" s="48" t="s">
        <v>4</v>
      </c>
      <c r="F59" s="22" t="s">
        <v>3</v>
      </c>
      <c r="G59" s="21" t="s">
        <v>5</v>
      </c>
      <c r="H59" s="22" t="s">
        <v>5</v>
      </c>
      <c r="I59" s="21" t="s">
        <v>5</v>
      </c>
      <c r="J59" s="22" t="s">
        <v>5</v>
      </c>
      <c r="K59" s="23" t="s">
        <v>10</v>
      </c>
      <c r="L59" s="23" t="s">
        <v>10</v>
      </c>
      <c r="M59" s="23" t="s">
        <v>11</v>
      </c>
      <c r="N59" s="185"/>
      <c r="O59" s="9"/>
      <c r="P59" s="10"/>
      <c r="Q59" s="10"/>
      <c r="R59" s="8"/>
      <c r="S59" s="8"/>
      <c r="T59" s="8"/>
      <c r="U59" s="178"/>
      <c r="V59" s="9"/>
      <c r="W59" s="10"/>
      <c r="X59" s="10"/>
      <c r="AA59" s="155" t="s">
        <v>3</v>
      </c>
      <c r="AB59" s="156"/>
      <c r="AC59" s="131" t="s">
        <v>23</v>
      </c>
      <c r="AD59" s="132" t="s">
        <v>36</v>
      </c>
      <c r="AE59" s="131" t="s">
        <v>23</v>
      </c>
      <c r="AF59" s="132" t="s">
        <v>36</v>
      </c>
      <c r="AG59" s="131" t="s">
        <v>23</v>
      </c>
      <c r="AH59" s="132" t="s">
        <v>36</v>
      </c>
      <c r="AI59" s="131" t="s">
        <v>23</v>
      </c>
      <c r="AJ59" s="132" t="s">
        <v>36</v>
      </c>
      <c r="AK59" s="152"/>
      <c r="AU59" s="155" t="s">
        <v>3</v>
      </c>
      <c r="AV59" s="156"/>
      <c r="AW59" s="153" t="s">
        <v>23</v>
      </c>
      <c r="AX59" s="154"/>
      <c r="AY59" s="154" t="s">
        <v>11</v>
      </c>
      <c r="AZ59" s="163"/>
      <c r="BA59" s="153" t="s">
        <v>23</v>
      </c>
      <c r="BB59" s="154"/>
      <c r="BC59" s="154" t="s">
        <v>11</v>
      </c>
      <c r="BD59" s="163"/>
      <c r="BE59" s="213" t="s">
        <v>11</v>
      </c>
      <c r="BF59" s="214"/>
      <c r="BG59" s="197"/>
      <c r="BJ59" s="93">
        <v>1</v>
      </c>
      <c r="BK59" s="63">
        <f>BK60-(BK61-BK60)*BJ59</f>
        <v>-6761.2988753936643</v>
      </c>
      <c r="BL59" s="63">
        <f>BL60-(BL61-BL60)*BJ59</f>
        <v>274</v>
      </c>
      <c r="BM59" s="63">
        <f>BM60-(BM61-BM60)*BJ69</f>
        <v>2.980586293923511</v>
      </c>
      <c r="BN59" s="63">
        <f>BN60-(BN61-BN60)*BJ69</f>
        <v>934</v>
      </c>
      <c r="BO59" s="93">
        <v>10</v>
      </c>
      <c r="BP59" s="63">
        <f>BP60-(BP61-BP60)*BO59</f>
        <v>-18620.774940867614</v>
      </c>
      <c r="BQ59" s="63">
        <f>BQ60-(BQ61-BQ60)*BO59</f>
        <v>-320</v>
      </c>
      <c r="BR59" s="63">
        <f>BR60-(BR61-BR60)*BO69</f>
        <v>2.980586293923511</v>
      </c>
      <c r="BS59" s="63">
        <f>BS60-(BS61-BS60)*BO69</f>
        <v>934</v>
      </c>
      <c r="CF59" s="109" t="s">
        <v>5</v>
      </c>
      <c r="CG59" s="22" t="s">
        <v>5</v>
      </c>
      <c r="CH59" s="22"/>
    </row>
    <row r="60" spans="1:86" ht="18" customHeight="1" x14ac:dyDescent="0.2">
      <c r="A60" s="78">
        <v>2</v>
      </c>
      <c r="B60" s="32">
        <v>340</v>
      </c>
      <c r="C60" s="33">
        <v>116.928</v>
      </c>
      <c r="D60" s="34">
        <v>257.95690000000002</v>
      </c>
      <c r="E60" s="35">
        <v>70.255300000000005</v>
      </c>
      <c r="F60" s="36">
        <v>18.561</v>
      </c>
      <c r="G60" s="37">
        <v>3.49</v>
      </c>
      <c r="H60" s="38">
        <v>3.51</v>
      </c>
      <c r="I60" s="37">
        <v>-4.0999999999999996</v>
      </c>
      <c r="J60" s="38">
        <v>-8</v>
      </c>
      <c r="K60" s="30">
        <v>13.818</v>
      </c>
      <c r="L60" s="30">
        <v>5.5731182795698926</v>
      </c>
      <c r="M60" s="30">
        <v>-8.5599999046325692</v>
      </c>
      <c r="N60" s="185"/>
      <c r="O60" s="9"/>
      <c r="P60" s="10"/>
      <c r="Q60" s="10"/>
      <c r="R60" s="5"/>
      <c r="S60" s="6"/>
      <c r="T60" s="6"/>
      <c r="U60" s="178"/>
      <c r="V60" s="9"/>
      <c r="W60" s="10"/>
      <c r="X60" s="10"/>
      <c r="AA60" s="157">
        <v>340</v>
      </c>
      <c r="AB60" s="158"/>
      <c r="AC60" s="133">
        <v>10.602150537634412</v>
      </c>
      <c r="AD60" s="134" t="str">
        <f>INT(AC60*$AT$3/100) &amp; " ("&amp;AM60&amp;")"</f>
        <v>402 (MXUA)</v>
      </c>
      <c r="AE60" s="133">
        <v>6.3010752688172058</v>
      </c>
      <c r="AF60" s="134" t="str">
        <f>INT(AE60*$AT$3/100) &amp; " ("&amp;AO60&amp;")"</f>
        <v>239 (MXUA)</v>
      </c>
      <c r="AG60" s="133">
        <v>-3382.794871794898</v>
      </c>
      <c r="AH60" s="134" t="str">
        <f t="shared" ref="AH60:AH68" si="0">INT(AG60*$AT$3/100) &amp; " ("&amp;AQ60&amp;")"</f>
        <v>-128513 (SI)</v>
      </c>
      <c r="AI60" s="133">
        <v>-3382.794871794898</v>
      </c>
      <c r="AJ60" s="134" t="str">
        <f t="shared" ref="AJ60:AJ68" si="1">INT(AI60*$AT$3/100) &amp; " ("&amp;AS60&amp;")"</f>
        <v>-128513 (SI)</v>
      </c>
      <c r="AK60" s="152"/>
      <c r="AM60" s="11" t="s">
        <v>97</v>
      </c>
      <c r="AN60" s="11"/>
      <c r="AO60" s="11" t="s">
        <v>97</v>
      </c>
      <c r="AP60" s="11"/>
      <c r="AQ60" s="11" t="s">
        <v>125</v>
      </c>
      <c r="AR60" s="11"/>
      <c r="AS60" s="11" t="s">
        <v>125</v>
      </c>
      <c r="AT60" s="11"/>
      <c r="AU60" s="157">
        <f t="shared" ref="AU60:AU68" si="2">AA60</f>
        <v>340</v>
      </c>
      <c r="AV60" s="158"/>
      <c r="AW60" s="166">
        <f t="shared" ref="AW60:AW68" si="3">AC60</f>
        <v>10.602150537634412</v>
      </c>
      <c r="AX60" s="167"/>
      <c r="AY60" s="159">
        <f t="shared" ref="AY60:AY68" si="4">INT(AW60*$AT$3/100)</f>
        <v>402</v>
      </c>
      <c r="AZ60" s="160"/>
      <c r="BA60" s="166">
        <f t="shared" ref="BA60:BA68" si="5">AG60</f>
        <v>-3382.794871794898</v>
      </c>
      <c r="BB60" s="167"/>
      <c r="BC60" s="159">
        <f t="shared" ref="BC60:BC68" si="6">INT(BA60*$AT$3/100)</f>
        <v>-128513</v>
      </c>
      <c r="BD60" s="160"/>
      <c r="BE60" s="161">
        <f t="shared" ref="BE60:BE68" si="7">IF(ABS(AY60)&gt;ABS(BC60),BC60,AY60)</f>
        <v>402</v>
      </c>
      <c r="BF60" s="162"/>
      <c r="BG60" s="197"/>
      <c r="BK60" s="63">
        <f t="shared" ref="BK60:BK68" si="8">MIN(BA60/2-AW60/2,BA60)</f>
        <v>-3382.794871794898</v>
      </c>
      <c r="BL60" s="1">
        <f t="shared" ref="BL60:BL68" si="9">AU60</f>
        <v>340</v>
      </c>
      <c r="BM60" s="1">
        <f>-BK68</f>
        <v>2.9803921568627452</v>
      </c>
      <c r="BN60" s="1">
        <f>BL68</f>
        <v>868</v>
      </c>
      <c r="BP60" s="63">
        <f t="shared" ref="BP60:BP68" si="10">BA60/2-AW60/2</f>
        <v>-1696.6985111662661</v>
      </c>
      <c r="BQ60" s="1">
        <f t="shared" ref="BQ60:BQ68" si="11">AU60</f>
        <v>340</v>
      </c>
      <c r="BR60" s="1">
        <f>-BP68</f>
        <v>2.9803921568627452</v>
      </c>
      <c r="BS60" s="1">
        <f>BQ68</f>
        <v>868</v>
      </c>
      <c r="BV60" s="1">
        <f t="shared" ref="BV60:BV68" si="12">AU60</f>
        <v>340</v>
      </c>
      <c r="BW60" s="63">
        <f t="shared" ref="BW60:BW68" si="13">AW60</f>
        <v>10.602150537634412</v>
      </c>
      <c r="BX60" s="63">
        <f t="shared" ref="BX60:BX68" si="14">BA60</f>
        <v>-3382.794871794898</v>
      </c>
      <c r="BY60" s="1">
        <f>-BV68</f>
        <v>-868</v>
      </c>
      <c r="BZ60" s="63">
        <f>BW68</f>
        <v>4.1176470588235299</v>
      </c>
      <c r="CA60" s="63">
        <f>BX68</f>
        <v>-1.8431372549019609</v>
      </c>
      <c r="CF60" s="110">
        <v>-8</v>
      </c>
      <c r="CG60" s="30">
        <v>-0.19999999999999973</v>
      </c>
      <c r="CH60" s="30">
        <v>-0.19999999999999973</v>
      </c>
    </row>
    <row r="61" spans="1:86" ht="18" customHeight="1" x14ac:dyDescent="0.2">
      <c r="A61" s="80"/>
      <c r="B61" s="32">
        <v>406</v>
      </c>
      <c r="C61" s="33">
        <v>182.928</v>
      </c>
      <c r="D61" s="34">
        <v>323.95689999999996</v>
      </c>
      <c r="E61" s="35">
        <v>61.148199999999996</v>
      </c>
      <c r="F61" s="36">
        <v>19.977</v>
      </c>
      <c r="G61" s="37">
        <v>3.03</v>
      </c>
      <c r="H61" s="38">
        <v>3.06</v>
      </c>
      <c r="I61" s="37">
        <v>-3.3</v>
      </c>
      <c r="J61" s="38">
        <v>-7.23</v>
      </c>
      <c r="K61" s="38">
        <v>12.836</v>
      </c>
      <c r="L61" s="38">
        <v>5.4430107526881724</v>
      </c>
      <c r="M61" s="38">
        <v>-7.8499999046325684</v>
      </c>
      <c r="N61" s="185"/>
      <c r="O61" s="9"/>
      <c r="P61" s="10"/>
      <c r="Q61" s="10"/>
      <c r="R61" s="5"/>
      <c r="S61" s="6"/>
      <c r="T61" s="6"/>
      <c r="U61" s="178"/>
      <c r="V61" s="9"/>
      <c r="W61" s="10"/>
      <c r="X61" s="10"/>
      <c r="AA61" s="170">
        <v>406</v>
      </c>
      <c r="AB61" s="171"/>
      <c r="AC61" s="133">
        <v>8.821052631578949</v>
      </c>
      <c r="AD61" s="134" t="str">
        <f t="shared" ref="AD61:AD68" si="15">INT(AC61*$AT$3/100) &amp; " ("&amp;AM61&amp;")"</f>
        <v>335 (MXUA)</v>
      </c>
      <c r="AE61" s="133">
        <v>4.6105263157894747</v>
      </c>
      <c r="AF61" s="134" t="str">
        <f t="shared" ref="AF61:AF68" si="16">INT(AE61*$AT$3/100) &amp; " ("&amp;AO61&amp;")"</f>
        <v>175 (MXUA)</v>
      </c>
      <c r="AG61" s="133">
        <v>0.2393162393162398</v>
      </c>
      <c r="AH61" s="134" t="str">
        <f t="shared" si="0"/>
        <v>9 (MNLA)</v>
      </c>
      <c r="AI61" s="133">
        <v>2.787234042553191</v>
      </c>
      <c r="AJ61" s="134" t="str">
        <f t="shared" si="1"/>
        <v>105 (BMWC)</v>
      </c>
      <c r="AK61" s="152"/>
      <c r="AM61" s="11" t="s">
        <v>97</v>
      </c>
      <c r="AN61" s="11"/>
      <c r="AO61" s="11" t="s">
        <v>97</v>
      </c>
      <c r="AP61" s="11"/>
      <c r="AQ61" s="11" t="s">
        <v>34</v>
      </c>
      <c r="AR61" s="11"/>
      <c r="AS61" s="11" t="s">
        <v>124</v>
      </c>
      <c r="AT61" s="11"/>
      <c r="AU61" s="170">
        <f t="shared" si="2"/>
        <v>406</v>
      </c>
      <c r="AV61" s="171"/>
      <c r="AW61" s="168">
        <f t="shared" si="3"/>
        <v>8.821052631578949</v>
      </c>
      <c r="AX61" s="169"/>
      <c r="AY61" s="164">
        <f t="shared" si="4"/>
        <v>335</v>
      </c>
      <c r="AZ61" s="165"/>
      <c r="BA61" s="168">
        <f t="shared" si="5"/>
        <v>0.2393162393162398</v>
      </c>
      <c r="BB61" s="169"/>
      <c r="BC61" s="164">
        <f t="shared" si="6"/>
        <v>9</v>
      </c>
      <c r="BD61" s="165"/>
      <c r="BE61" s="205">
        <f t="shared" si="7"/>
        <v>9</v>
      </c>
      <c r="BF61" s="206"/>
      <c r="BG61" s="197"/>
      <c r="BK61" s="63">
        <f t="shared" si="8"/>
        <v>-4.2908681961313544</v>
      </c>
      <c r="BL61" s="1">
        <f t="shared" si="9"/>
        <v>406</v>
      </c>
      <c r="BM61" s="1">
        <f>-BK67</f>
        <v>2.9801980198019793</v>
      </c>
      <c r="BN61" s="1">
        <f>BL67</f>
        <v>802</v>
      </c>
      <c r="BP61" s="63">
        <f t="shared" si="10"/>
        <v>-4.2908681961313544</v>
      </c>
      <c r="BQ61" s="1">
        <f t="shared" si="11"/>
        <v>406</v>
      </c>
      <c r="BR61" s="1">
        <f>-BP67</f>
        <v>2.9801980198019793</v>
      </c>
      <c r="BS61" s="1">
        <f>BQ67</f>
        <v>802</v>
      </c>
      <c r="BV61" s="1">
        <f t="shared" si="12"/>
        <v>406</v>
      </c>
      <c r="BW61" s="63">
        <f t="shared" si="13"/>
        <v>8.821052631578949</v>
      </c>
      <c r="BX61" s="63">
        <f t="shared" si="14"/>
        <v>0.2393162393162398</v>
      </c>
      <c r="BY61" s="1">
        <f>-BV67</f>
        <v>-802</v>
      </c>
      <c r="BZ61" s="63">
        <f>BW67</f>
        <v>4.4356435643564343</v>
      </c>
      <c r="CA61" s="63">
        <f>BX67</f>
        <v>-1.5247524752475243</v>
      </c>
      <c r="CF61" s="111">
        <v>-7.23</v>
      </c>
      <c r="CG61" s="38">
        <v>0.63000000000000034</v>
      </c>
      <c r="CH61" s="38">
        <v>0.63000000000000034</v>
      </c>
    </row>
    <row r="62" spans="1:86" ht="18" customHeight="1" x14ac:dyDescent="0.2">
      <c r="A62" s="80"/>
      <c r="B62" s="32">
        <v>472</v>
      </c>
      <c r="C62" s="33">
        <v>248.928</v>
      </c>
      <c r="D62" s="34">
        <v>389.95690000000002</v>
      </c>
      <c r="E62" s="35">
        <v>54.973399999999991</v>
      </c>
      <c r="F62" s="36">
        <v>21.401</v>
      </c>
      <c r="G62" s="37">
        <v>2.71</v>
      </c>
      <c r="H62" s="38">
        <v>2.75</v>
      </c>
      <c r="I62" s="37">
        <v>-2.73</v>
      </c>
      <c r="J62" s="38">
        <v>-6.67</v>
      </c>
      <c r="K62" s="38">
        <v>12.287000000000001</v>
      </c>
      <c r="L62" s="38">
        <v>5.3193548387096774</v>
      </c>
      <c r="M62" s="38">
        <v>-7.3599999046325681</v>
      </c>
      <c r="N62" s="185"/>
      <c r="O62" s="9"/>
      <c r="P62" s="10"/>
      <c r="Q62" s="10"/>
      <c r="R62" s="5"/>
      <c r="S62" s="6"/>
      <c r="T62" s="6"/>
      <c r="U62" s="178"/>
      <c r="V62" s="9"/>
      <c r="W62" s="10"/>
      <c r="X62" s="10"/>
      <c r="AA62" s="170">
        <v>472</v>
      </c>
      <c r="AB62" s="171"/>
      <c r="AC62" s="133">
        <v>7.5625</v>
      </c>
      <c r="AD62" s="134" t="str">
        <f t="shared" si="15"/>
        <v>287 (MXUA)</v>
      </c>
      <c r="AE62" s="133">
        <v>3.3958333333333339</v>
      </c>
      <c r="AF62" s="134" t="str">
        <f t="shared" si="16"/>
        <v>129 (MXUA)</v>
      </c>
      <c r="AG62" s="133">
        <v>0.76521739130434829</v>
      </c>
      <c r="AH62" s="134" t="str">
        <f t="shared" si="0"/>
        <v>29 (MNLA)</v>
      </c>
      <c r="AI62" s="133">
        <v>1.5416666666666663</v>
      </c>
      <c r="AJ62" s="134" t="str">
        <f t="shared" si="1"/>
        <v>58 (BMWC)</v>
      </c>
      <c r="AK62" s="152"/>
      <c r="AM62" s="11" t="s">
        <v>97</v>
      </c>
      <c r="AN62" s="11"/>
      <c r="AO62" s="11" t="s">
        <v>97</v>
      </c>
      <c r="AP62" s="11"/>
      <c r="AQ62" s="11" t="s">
        <v>34</v>
      </c>
      <c r="AR62" s="11"/>
      <c r="AS62" s="11" t="s">
        <v>124</v>
      </c>
      <c r="AT62" s="11"/>
      <c r="AU62" s="170">
        <f t="shared" si="2"/>
        <v>472</v>
      </c>
      <c r="AV62" s="171"/>
      <c r="AW62" s="168">
        <f t="shared" si="3"/>
        <v>7.5625</v>
      </c>
      <c r="AX62" s="169"/>
      <c r="AY62" s="164">
        <f t="shared" si="4"/>
        <v>287</v>
      </c>
      <c r="AZ62" s="165"/>
      <c r="BA62" s="168">
        <f t="shared" si="5"/>
        <v>0.76521739130434829</v>
      </c>
      <c r="BB62" s="169"/>
      <c r="BC62" s="164">
        <f t="shared" si="6"/>
        <v>29</v>
      </c>
      <c r="BD62" s="165"/>
      <c r="BE62" s="205">
        <f t="shared" si="7"/>
        <v>29</v>
      </c>
      <c r="BF62" s="206"/>
      <c r="BG62" s="197"/>
      <c r="BK62" s="63">
        <f t="shared" si="8"/>
        <v>-3.3986413043478256</v>
      </c>
      <c r="BL62" s="1">
        <f t="shared" si="9"/>
        <v>472</v>
      </c>
      <c r="BM62" s="1">
        <f>-BK66</f>
        <v>2.9743564356435646</v>
      </c>
      <c r="BN62" s="1">
        <f>BL66</f>
        <v>736</v>
      </c>
      <c r="BP62" s="63">
        <f t="shared" si="10"/>
        <v>-3.3986413043478256</v>
      </c>
      <c r="BQ62" s="1">
        <f t="shared" si="11"/>
        <v>472</v>
      </c>
      <c r="BR62" s="1">
        <f>-BP66</f>
        <v>2.9743564356435646</v>
      </c>
      <c r="BS62" s="1">
        <f>BQ66</f>
        <v>736</v>
      </c>
      <c r="BV62" s="1">
        <f t="shared" si="12"/>
        <v>472</v>
      </c>
      <c r="BW62" s="63">
        <f t="shared" si="13"/>
        <v>7.5625</v>
      </c>
      <c r="BX62" s="63">
        <f t="shared" si="14"/>
        <v>0.76521739130434829</v>
      </c>
      <c r="BY62" s="1">
        <f>-BV66</f>
        <v>-736</v>
      </c>
      <c r="BZ62" s="63">
        <f>BW66</f>
        <v>4.82</v>
      </c>
      <c r="CA62" s="63">
        <f>BX66</f>
        <v>-1.1287128712871288</v>
      </c>
      <c r="CF62" s="111">
        <v>-6.68</v>
      </c>
      <c r="CG62" s="38">
        <v>1.2200000000000002</v>
      </c>
      <c r="CH62" s="38">
        <v>1.2200000000000002</v>
      </c>
    </row>
    <row r="63" spans="1:86" ht="18" customHeight="1" x14ac:dyDescent="0.2">
      <c r="A63" s="80"/>
      <c r="B63" s="32">
        <v>538</v>
      </c>
      <c r="C63" s="33">
        <v>314.928</v>
      </c>
      <c r="D63" s="34">
        <v>455.95690000000002</v>
      </c>
      <c r="E63" s="35">
        <v>50.513200000000005</v>
      </c>
      <c r="F63" s="36">
        <v>22.834</v>
      </c>
      <c r="G63" s="37">
        <v>2.48</v>
      </c>
      <c r="H63" s="38">
        <v>2.5299999999999998</v>
      </c>
      <c r="I63" s="37">
        <v>-2.2799999999999998</v>
      </c>
      <c r="J63" s="38">
        <v>-6.25</v>
      </c>
      <c r="K63" s="38">
        <v>12.009</v>
      </c>
      <c r="L63" s="38">
        <v>5.2021505376344086</v>
      </c>
      <c r="M63" s="38">
        <v>-6.9699999046325685</v>
      </c>
      <c r="N63" s="185"/>
      <c r="O63" s="9"/>
      <c r="P63" s="10"/>
      <c r="Q63" s="10"/>
      <c r="R63" s="5"/>
      <c r="S63" s="6"/>
      <c r="T63" s="6"/>
      <c r="U63" s="178"/>
      <c r="V63" s="9"/>
      <c r="W63" s="10"/>
      <c r="X63" s="10"/>
      <c r="AA63" s="170">
        <v>538</v>
      </c>
      <c r="AB63" s="171"/>
      <c r="AC63" s="133">
        <v>6.5979381443298966</v>
      </c>
      <c r="AD63" s="134" t="str">
        <f t="shared" si="15"/>
        <v>250 (MXUA)</v>
      </c>
      <c r="AE63" s="133">
        <v>2.4742268041237132</v>
      </c>
      <c r="AF63" s="134" t="str">
        <f t="shared" si="16"/>
        <v>93 (MXUA)</v>
      </c>
      <c r="AG63" s="133">
        <v>0.61224489795918347</v>
      </c>
      <c r="AH63" s="134" t="str">
        <f t="shared" si="0"/>
        <v>23 (BMWC)</v>
      </c>
      <c r="AI63" s="133">
        <v>0.61224489795918347</v>
      </c>
      <c r="AJ63" s="134" t="str">
        <f t="shared" si="1"/>
        <v>23 (BMWC)</v>
      </c>
      <c r="AK63" s="152"/>
      <c r="AM63" s="11" t="s">
        <v>97</v>
      </c>
      <c r="AN63" s="11"/>
      <c r="AO63" s="11" t="s">
        <v>97</v>
      </c>
      <c r="AP63" s="11"/>
      <c r="AQ63" s="11" t="s">
        <v>124</v>
      </c>
      <c r="AR63" s="11"/>
      <c r="AS63" s="11" t="s">
        <v>124</v>
      </c>
      <c r="AT63" s="11"/>
      <c r="AU63" s="170">
        <f t="shared" si="2"/>
        <v>538</v>
      </c>
      <c r="AV63" s="171"/>
      <c r="AW63" s="168">
        <f t="shared" si="3"/>
        <v>6.5979381443298966</v>
      </c>
      <c r="AX63" s="169"/>
      <c r="AY63" s="164">
        <f t="shared" si="4"/>
        <v>250</v>
      </c>
      <c r="AZ63" s="165"/>
      <c r="BA63" s="168">
        <f t="shared" si="5"/>
        <v>0.61224489795918347</v>
      </c>
      <c r="BB63" s="169"/>
      <c r="BC63" s="164">
        <f t="shared" si="6"/>
        <v>23</v>
      </c>
      <c r="BD63" s="165"/>
      <c r="BE63" s="205">
        <f t="shared" si="7"/>
        <v>23</v>
      </c>
      <c r="BF63" s="206"/>
      <c r="BG63" s="197"/>
      <c r="BK63" s="63">
        <f t="shared" si="8"/>
        <v>-2.9928466231853568</v>
      </c>
      <c r="BL63" s="1">
        <f t="shared" si="9"/>
        <v>538</v>
      </c>
      <c r="BM63" s="1">
        <f>-BK65</f>
        <v>2.9797979797979797</v>
      </c>
      <c r="BN63" s="1">
        <f>BL65</f>
        <v>670</v>
      </c>
      <c r="BP63" s="63">
        <f t="shared" si="10"/>
        <v>-2.9928466231853568</v>
      </c>
      <c r="BQ63" s="1">
        <f t="shared" si="11"/>
        <v>538</v>
      </c>
      <c r="BR63" s="1">
        <f>-BP65</f>
        <v>2.9797979797979797</v>
      </c>
      <c r="BS63" s="1">
        <f>BQ65</f>
        <v>670</v>
      </c>
      <c r="BV63" s="1">
        <f t="shared" si="12"/>
        <v>538</v>
      </c>
      <c r="BW63" s="63">
        <f t="shared" si="13"/>
        <v>6.5979381443298966</v>
      </c>
      <c r="BX63" s="63">
        <f t="shared" si="14"/>
        <v>0.61224489795918347</v>
      </c>
      <c r="BY63" s="1">
        <f>-BV65</f>
        <v>-670</v>
      </c>
      <c r="BZ63" s="63">
        <f>BW65</f>
        <v>5.2929292929292924</v>
      </c>
      <c r="CA63" s="63">
        <f>BX65</f>
        <v>-0.66666666666666696</v>
      </c>
      <c r="CF63" s="111">
        <v>-6.24</v>
      </c>
      <c r="CG63" s="38">
        <v>1.6800000000000002</v>
      </c>
      <c r="CH63" s="38">
        <v>1.6800000000000002</v>
      </c>
    </row>
    <row r="64" spans="1:86" ht="18" customHeight="1" x14ac:dyDescent="0.2">
      <c r="A64" s="80"/>
      <c r="B64" s="32">
        <v>604</v>
      </c>
      <c r="C64" s="33">
        <v>380.928</v>
      </c>
      <c r="D64" s="34">
        <v>521.95690000000002</v>
      </c>
      <c r="E64" s="35">
        <v>47.140999999999998</v>
      </c>
      <c r="F64" s="36">
        <v>24.277000000000001</v>
      </c>
      <c r="G64" s="37">
        <v>2.31</v>
      </c>
      <c r="H64" s="38">
        <v>2.36</v>
      </c>
      <c r="I64" s="37">
        <v>-1.94</v>
      </c>
      <c r="J64" s="38">
        <v>-5.91</v>
      </c>
      <c r="K64" s="38">
        <v>11.91</v>
      </c>
      <c r="L64" s="38">
        <v>5.0924731182795693</v>
      </c>
      <c r="M64" s="38">
        <v>-6.6499999046325682</v>
      </c>
      <c r="N64" s="185"/>
      <c r="O64" s="9"/>
      <c r="P64" s="10"/>
      <c r="Q64" s="10"/>
      <c r="R64" s="5"/>
      <c r="S64" s="6"/>
      <c r="T64" s="6"/>
      <c r="U64" s="178"/>
      <c r="V64" s="9"/>
      <c r="W64" s="10"/>
      <c r="X64" s="10"/>
      <c r="AA64" s="170">
        <v>604</v>
      </c>
      <c r="AB64" s="171"/>
      <c r="AC64" s="133">
        <v>5.8775510204081627</v>
      </c>
      <c r="AD64" s="134" t="str">
        <f t="shared" si="15"/>
        <v>223 (MXUA)</v>
      </c>
      <c r="AE64" s="133">
        <v>1.7959183673469372</v>
      </c>
      <c r="AF64" s="134" t="str">
        <f t="shared" si="16"/>
        <v>68 (MXUA)</v>
      </c>
      <c r="AG64" s="133">
        <v>-0.10101010101010122</v>
      </c>
      <c r="AH64" s="134" t="str">
        <f t="shared" si="0"/>
        <v>-4 (BMWC)</v>
      </c>
      <c r="AI64" s="133">
        <v>-0.10101010101010122</v>
      </c>
      <c r="AJ64" s="134" t="str">
        <f t="shared" si="1"/>
        <v>-4 (BMWC)</v>
      </c>
      <c r="AK64" s="152"/>
      <c r="AM64" s="11" t="s">
        <v>97</v>
      </c>
      <c r="AN64" s="11"/>
      <c r="AO64" s="11" t="s">
        <v>97</v>
      </c>
      <c r="AP64" s="11"/>
      <c r="AQ64" s="11" t="s">
        <v>124</v>
      </c>
      <c r="AR64" s="11"/>
      <c r="AS64" s="11" t="s">
        <v>124</v>
      </c>
      <c r="AT64" s="11"/>
      <c r="AU64" s="170">
        <f t="shared" si="2"/>
        <v>604</v>
      </c>
      <c r="AV64" s="171"/>
      <c r="AW64" s="168">
        <f t="shared" si="3"/>
        <v>5.8775510204081627</v>
      </c>
      <c r="AX64" s="169"/>
      <c r="AY64" s="164">
        <f t="shared" si="4"/>
        <v>223</v>
      </c>
      <c r="AZ64" s="165"/>
      <c r="BA64" s="168">
        <f t="shared" si="5"/>
        <v>-0.10101010101010122</v>
      </c>
      <c r="BB64" s="169"/>
      <c r="BC64" s="164">
        <f t="shared" si="6"/>
        <v>-4</v>
      </c>
      <c r="BD64" s="165"/>
      <c r="BE64" s="205">
        <f t="shared" si="7"/>
        <v>-4</v>
      </c>
      <c r="BF64" s="206"/>
      <c r="BG64" s="197"/>
      <c r="BK64" s="63">
        <f t="shared" si="8"/>
        <v>-2.989280560709132</v>
      </c>
      <c r="BL64" s="1">
        <f t="shared" si="9"/>
        <v>604</v>
      </c>
      <c r="BM64" s="1">
        <f>-BK64</f>
        <v>2.989280560709132</v>
      </c>
      <c r="BN64" s="1">
        <f>BL64</f>
        <v>604</v>
      </c>
      <c r="BP64" s="63">
        <f t="shared" si="10"/>
        <v>-2.989280560709132</v>
      </c>
      <c r="BQ64" s="1">
        <f t="shared" si="11"/>
        <v>604</v>
      </c>
      <c r="BR64" s="1">
        <f>-BP64</f>
        <v>2.989280560709132</v>
      </c>
      <c r="BS64" s="1">
        <f>BQ64</f>
        <v>604</v>
      </c>
      <c r="BV64" s="1">
        <f t="shared" si="12"/>
        <v>604</v>
      </c>
      <c r="BW64" s="63">
        <f t="shared" si="13"/>
        <v>5.8775510204081627</v>
      </c>
      <c r="BX64" s="63">
        <f t="shared" si="14"/>
        <v>-0.10101010101010122</v>
      </c>
      <c r="BY64" s="1">
        <f>-BV64</f>
        <v>-604</v>
      </c>
      <c r="BZ64" s="63">
        <f>BW64</f>
        <v>5.8775510204081627</v>
      </c>
      <c r="CA64" s="63">
        <f>BX64</f>
        <v>-0.10101010101010122</v>
      </c>
      <c r="CF64" s="111">
        <v>-5.91</v>
      </c>
      <c r="CG64" s="38">
        <v>2.0300000000000002</v>
      </c>
      <c r="CH64" s="38">
        <v>2.0300000000000002</v>
      </c>
    </row>
    <row r="65" spans="1:86" ht="18" customHeight="1" x14ac:dyDescent="0.2">
      <c r="A65" s="80"/>
      <c r="B65" s="32">
        <v>670</v>
      </c>
      <c r="C65" s="33">
        <v>446.928</v>
      </c>
      <c r="D65" s="34">
        <v>587.95690000000002</v>
      </c>
      <c r="E65" s="35">
        <v>44.501800000000003</v>
      </c>
      <c r="F65" s="36">
        <v>25.728000000000002</v>
      </c>
      <c r="G65" s="37">
        <v>2.17</v>
      </c>
      <c r="H65" s="38">
        <v>2.23</v>
      </c>
      <c r="I65" s="37">
        <v>-1.66</v>
      </c>
      <c r="J65" s="38">
        <v>-5.64</v>
      </c>
      <c r="K65" s="38">
        <v>11.938000000000001</v>
      </c>
      <c r="L65" s="38">
        <v>4.9870967741935486</v>
      </c>
      <c r="M65" s="38">
        <v>-6.3699999046325679</v>
      </c>
      <c r="N65" s="185"/>
      <c r="O65" s="9"/>
      <c r="P65" s="10"/>
      <c r="Q65" s="10"/>
      <c r="R65" s="5"/>
      <c r="S65" s="6"/>
      <c r="T65" s="6"/>
      <c r="U65" s="178"/>
      <c r="V65" s="9"/>
      <c r="W65" s="10"/>
      <c r="X65" s="10"/>
      <c r="AA65" s="170">
        <v>670</v>
      </c>
      <c r="AB65" s="171"/>
      <c r="AC65" s="133">
        <v>5.2929292929292924</v>
      </c>
      <c r="AD65" s="134" t="str">
        <f t="shared" si="15"/>
        <v>201 (MXUA)</v>
      </c>
      <c r="AE65" s="133">
        <v>1.2525252525252508</v>
      </c>
      <c r="AF65" s="134" t="str">
        <f t="shared" si="16"/>
        <v>47 (MXUA)</v>
      </c>
      <c r="AG65" s="133">
        <v>-0.66666666666666696</v>
      </c>
      <c r="AH65" s="134" t="str">
        <f t="shared" si="0"/>
        <v>-26 (BMWC)</v>
      </c>
      <c r="AI65" s="133">
        <v>-0.66666666666666696</v>
      </c>
      <c r="AJ65" s="134" t="str">
        <f t="shared" si="1"/>
        <v>-26 (BMWC)</v>
      </c>
      <c r="AK65" s="152"/>
      <c r="AM65" s="11" t="s">
        <v>97</v>
      </c>
      <c r="AN65" s="11"/>
      <c r="AO65" s="11" t="s">
        <v>97</v>
      </c>
      <c r="AP65" s="11"/>
      <c r="AQ65" s="11" t="s">
        <v>124</v>
      </c>
      <c r="AR65" s="11"/>
      <c r="AS65" s="11" t="s">
        <v>124</v>
      </c>
      <c r="AT65" s="11"/>
      <c r="AU65" s="170">
        <f t="shared" si="2"/>
        <v>670</v>
      </c>
      <c r="AV65" s="171"/>
      <c r="AW65" s="168">
        <f t="shared" si="3"/>
        <v>5.2929292929292924</v>
      </c>
      <c r="AX65" s="169"/>
      <c r="AY65" s="164">
        <f t="shared" si="4"/>
        <v>201</v>
      </c>
      <c r="AZ65" s="165"/>
      <c r="BA65" s="168">
        <f t="shared" si="5"/>
        <v>-0.66666666666666696</v>
      </c>
      <c r="BB65" s="169"/>
      <c r="BC65" s="164">
        <f t="shared" si="6"/>
        <v>-26</v>
      </c>
      <c r="BD65" s="165"/>
      <c r="BE65" s="205">
        <f t="shared" si="7"/>
        <v>-26</v>
      </c>
      <c r="BF65" s="206"/>
      <c r="BG65" s="197"/>
      <c r="BK65" s="63">
        <f t="shared" si="8"/>
        <v>-2.9797979797979797</v>
      </c>
      <c r="BL65" s="1">
        <f t="shared" si="9"/>
        <v>670</v>
      </c>
      <c r="BM65" s="1">
        <f>-BK63</f>
        <v>2.9928466231853568</v>
      </c>
      <c r="BN65" s="1">
        <f>BL63</f>
        <v>538</v>
      </c>
      <c r="BP65" s="63">
        <f t="shared" si="10"/>
        <v>-2.9797979797979797</v>
      </c>
      <c r="BQ65" s="1">
        <f t="shared" si="11"/>
        <v>670</v>
      </c>
      <c r="BR65" s="1">
        <f>-BP63</f>
        <v>2.9928466231853568</v>
      </c>
      <c r="BS65" s="1">
        <f>BQ63</f>
        <v>538</v>
      </c>
      <c r="BV65" s="1">
        <f t="shared" si="12"/>
        <v>670</v>
      </c>
      <c r="BW65" s="63">
        <f t="shared" si="13"/>
        <v>5.2929292929292924</v>
      </c>
      <c r="BX65" s="63">
        <f t="shared" si="14"/>
        <v>-0.66666666666666696</v>
      </c>
      <c r="BY65" s="1">
        <f>-BV63</f>
        <v>-538</v>
      </c>
      <c r="BZ65" s="63">
        <f>BW63</f>
        <v>6.5979381443298966</v>
      </c>
      <c r="CA65" s="63">
        <f>BX63</f>
        <v>0.61224489795918347</v>
      </c>
      <c r="CF65" s="111">
        <v>-5.64</v>
      </c>
      <c r="CG65" s="38">
        <v>2.3200000000000003</v>
      </c>
      <c r="CH65" s="38">
        <v>2.3200000000000003</v>
      </c>
    </row>
    <row r="66" spans="1:86" ht="18" customHeight="1" x14ac:dyDescent="0.2">
      <c r="A66" s="80"/>
      <c r="B66" s="32">
        <v>736</v>
      </c>
      <c r="C66" s="33">
        <v>512.928</v>
      </c>
      <c r="D66" s="34">
        <v>653.95689999999991</v>
      </c>
      <c r="E66" s="35">
        <v>42.380099999999999</v>
      </c>
      <c r="F66" s="36">
        <v>27.187999999999999</v>
      </c>
      <c r="G66" s="37">
        <v>2.06</v>
      </c>
      <c r="H66" s="38">
        <v>2.12</v>
      </c>
      <c r="I66" s="37">
        <v>-1.42</v>
      </c>
      <c r="J66" s="38">
        <v>-5.42</v>
      </c>
      <c r="K66" s="38">
        <v>12.057</v>
      </c>
      <c r="L66" s="38">
        <v>4.8881720430107523</v>
      </c>
      <c r="M66" s="38">
        <v>-6.0999999046325684</v>
      </c>
      <c r="N66" s="185"/>
      <c r="O66" s="9"/>
      <c r="P66" s="10"/>
      <c r="Q66" s="10"/>
      <c r="R66" s="5"/>
      <c r="S66" s="6"/>
      <c r="T66" s="6"/>
      <c r="U66" s="178"/>
      <c r="V66" s="9"/>
      <c r="W66" s="10"/>
      <c r="X66" s="10"/>
      <c r="AA66" s="170">
        <v>736</v>
      </c>
      <c r="AB66" s="171"/>
      <c r="AC66" s="133">
        <v>4.82</v>
      </c>
      <c r="AD66" s="134" t="str">
        <f t="shared" si="15"/>
        <v>183 (MXUA)</v>
      </c>
      <c r="AE66" s="133">
        <v>0.82000000000000028</v>
      </c>
      <c r="AF66" s="134" t="str">
        <f t="shared" si="16"/>
        <v>31 (MXUA)</v>
      </c>
      <c r="AG66" s="133">
        <v>-1.1287128712871288</v>
      </c>
      <c r="AH66" s="134" t="str">
        <f t="shared" si="0"/>
        <v>-43 (BMWC)</v>
      </c>
      <c r="AI66" s="133">
        <v>-1.1287128712871288</v>
      </c>
      <c r="AJ66" s="134" t="str">
        <f t="shared" si="1"/>
        <v>-43 (BMWC)</v>
      </c>
      <c r="AK66" s="152"/>
      <c r="AM66" s="11" t="s">
        <v>97</v>
      </c>
      <c r="AN66" s="11"/>
      <c r="AO66" s="11" t="s">
        <v>97</v>
      </c>
      <c r="AP66" s="11"/>
      <c r="AQ66" s="11" t="s">
        <v>124</v>
      </c>
      <c r="AR66" s="11"/>
      <c r="AS66" s="11" t="s">
        <v>124</v>
      </c>
      <c r="AT66" s="11"/>
      <c r="AU66" s="170">
        <f t="shared" si="2"/>
        <v>736</v>
      </c>
      <c r="AV66" s="171"/>
      <c r="AW66" s="168">
        <f t="shared" si="3"/>
        <v>4.82</v>
      </c>
      <c r="AX66" s="169"/>
      <c r="AY66" s="164">
        <f t="shared" si="4"/>
        <v>183</v>
      </c>
      <c r="AZ66" s="165"/>
      <c r="BA66" s="168">
        <f t="shared" si="5"/>
        <v>-1.1287128712871288</v>
      </c>
      <c r="BB66" s="169"/>
      <c r="BC66" s="164">
        <f t="shared" si="6"/>
        <v>-43</v>
      </c>
      <c r="BD66" s="165"/>
      <c r="BE66" s="205">
        <f t="shared" si="7"/>
        <v>-43</v>
      </c>
      <c r="BF66" s="206"/>
      <c r="BG66" s="197"/>
      <c r="BK66" s="63">
        <f t="shared" si="8"/>
        <v>-2.9743564356435646</v>
      </c>
      <c r="BL66" s="1">
        <f t="shared" si="9"/>
        <v>736</v>
      </c>
      <c r="BM66" s="1">
        <f>-BK62</f>
        <v>3.3986413043478256</v>
      </c>
      <c r="BN66" s="1">
        <f>BL62</f>
        <v>472</v>
      </c>
      <c r="BP66" s="63">
        <f t="shared" si="10"/>
        <v>-2.9743564356435646</v>
      </c>
      <c r="BQ66" s="1">
        <f t="shared" si="11"/>
        <v>736</v>
      </c>
      <c r="BR66" s="1">
        <f>-BP62</f>
        <v>3.3986413043478256</v>
      </c>
      <c r="BS66" s="1">
        <f>BQ62</f>
        <v>472</v>
      </c>
      <c r="BV66" s="1">
        <f t="shared" si="12"/>
        <v>736</v>
      </c>
      <c r="BW66" s="63">
        <f t="shared" si="13"/>
        <v>4.82</v>
      </c>
      <c r="BX66" s="63">
        <f t="shared" si="14"/>
        <v>-1.1287128712871288</v>
      </c>
      <c r="BY66" s="1">
        <f>-BV62</f>
        <v>-472</v>
      </c>
      <c r="BZ66" s="63">
        <f>BW62</f>
        <v>7.5625</v>
      </c>
      <c r="CA66" s="63">
        <f>BX62</f>
        <v>0.76521739130434829</v>
      </c>
      <c r="CF66" s="111">
        <v>-5.41</v>
      </c>
      <c r="CG66" s="38">
        <v>2.5700000000000003</v>
      </c>
      <c r="CH66" s="38">
        <v>2.5700000000000003</v>
      </c>
    </row>
    <row r="67" spans="1:86" ht="18" customHeight="1" x14ac:dyDescent="0.2">
      <c r="A67" s="84"/>
      <c r="B67" s="32">
        <v>802</v>
      </c>
      <c r="C67" s="33">
        <v>578.928</v>
      </c>
      <c r="D67" s="34">
        <v>719.95690000000002</v>
      </c>
      <c r="E67" s="49">
        <v>40.636600000000001</v>
      </c>
      <c r="F67" s="50">
        <v>28.655000000000005</v>
      </c>
      <c r="G67" s="51">
        <v>1.97</v>
      </c>
      <c r="H67" s="52">
        <v>2.0299999999999998</v>
      </c>
      <c r="I67" s="51">
        <v>-1.23</v>
      </c>
      <c r="J67" s="52">
        <v>-5.23</v>
      </c>
      <c r="K67" s="38">
        <v>12.250999999999999</v>
      </c>
      <c r="L67" s="38">
        <v>4.7946236559139779</v>
      </c>
      <c r="M67" s="38">
        <v>-5.8599999046325681</v>
      </c>
      <c r="N67" s="185"/>
      <c r="O67" s="9"/>
      <c r="P67" s="10"/>
      <c r="Q67" s="10"/>
      <c r="R67" s="5"/>
      <c r="S67" s="6"/>
      <c r="T67" s="6"/>
      <c r="U67" s="178"/>
      <c r="V67" s="9"/>
      <c r="W67" s="10"/>
      <c r="X67" s="10"/>
      <c r="AA67" s="170">
        <v>802</v>
      </c>
      <c r="AB67" s="171"/>
      <c r="AC67" s="133">
        <v>4.4356435643564343</v>
      </c>
      <c r="AD67" s="134" t="str">
        <f t="shared" si="15"/>
        <v>168 (MXUA)</v>
      </c>
      <c r="AE67" s="133">
        <v>0.47524752475247212</v>
      </c>
      <c r="AF67" s="134" t="str">
        <f t="shared" si="16"/>
        <v>18 (MXUA)</v>
      </c>
      <c r="AG67" s="133">
        <v>-1.5247524752475243</v>
      </c>
      <c r="AH67" s="134" t="str">
        <f t="shared" si="0"/>
        <v>-58 (BMWC)</v>
      </c>
      <c r="AI67" s="133">
        <v>-1.5247524752475243</v>
      </c>
      <c r="AJ67" s="134" t="str">
        <f t="shared" si="1"/>
        <v>-58 (BMWC)</v>
      </c>
      <c r="AK67" s="152"/>
      <c r="AM67" s="11" t="s">
        <v>97</v>
      </c>
      <c r="AN67" s="11"/>
      <c r="AO67" s="11" t="s">
        <v>97</v>
      </c>
      <c r="AP67" s="11"/>
      <c r="AQ67" s="11" t="s">
        <v>124</v>
      </c>
      <c r="AR67" s="11"/>
      <c r="AS67" s="11" t="s">
        <v>124</v>
      </c>
      <c r="AT67" s="11"/>
      <c r="AU67" s="170">
        <f t="shared" si="2"/>
        <v>802</v>
      </c>
      <c r="AV67" s="171"/>
      <c r="AW67" s="168">
        <f t="shared" si="3"/>
        <v>4.4356435643564343</v>
      </c>
      <c r="AX67" s="169"/>
      <c r="AY67" s="164">
        <f t="shared" si="4"/>
        <v>168</v>
      </c>
      <c r="AZ67" s="165"/>
      <c r="BA67" s="168">
        <f t="shared" si="5"/>
        <v>-1.5247524752475243</v>
      </c>
      <c r="BB67" s="169"/>
      <c r="BC67" s="164">
        <f t="shared" si="6"/>
        <v>-58</v>
      </c>
      <c r="BD67" s="165"/>
      <c r="BE67" s="205">
        <f t="shared" si="7"/>
        <v>-58</v>
      </c>
      <c r="BF67" s="206"/>
      <c r="BG67" s="197"/>
      <c r="BK67" s="63">
        <f t="shared" si="8"/>
        <v>-2.9801980198019793</v>
      </c>
      <c r="BL67" s="1">
        <f t="shared" si="9"/>
        <v>802</v>
      </c>
      <c r="BM67" s="1">
        <f>-BK61</f>
        <v>4.2908681961313544</v>
      </c>
      <c r="BN67" s="1">
        <f>BL61</f>
        <v>406</v>
      </c>
      <c r="BP67" s="63">
        <f t="shared" si="10"/>
        <v>-2.9801980198019793</v>
      </c>
      <c r="BQ67" s="1">
        <f t="shared" si="11"/>
        <v>802</v>
      </c>
      <c r="BR67" s="1">
        <f>-BP61</f>
        <v>4.2908681961313544</v>
      </c>
      <c r="BS67" s="1">
        <f>BQ61</f>
        <v>406</v>
      </c>
      <c r="BV67" s="1">
        <f t="shared" si="12"/>
        <v>802</v>
      </c>
      <c r="BW67" s="63">
        <f t="shared" si="13"/>
        <v>4.4356435643564343</v>
      </c>
      <c r="BX67" s="63">
        <f t="shared" si="14"/>
        <v>-1.5247524752475243</v>
      </c>
      <c r="BY67" s="1">
        <f>-BV61</f>
        <v>-406</v>
      </c>
      <c r="BZ67" s="63">
        <f>BW61</f>
        <v>8.821052631578949</v>
      </c>
      <c r="CA67" s="63">
        <f>BX61</f>
        <v>0.2393162393162398</v>
      </c>
      <c r="CF67" s="111">
        <v>-5.23</v>
      </c>
      <c r="CG67" s="38">
        <v>2.77</v>
      </c>
      <c r="CH67" s="38">
        <v>2.77</v>
      </c>
    </row>
    <row r="68" spans="1:86" ht="18" customHeight="1" thickBot="1" x14ac:dyDescent="0.25">
      <c r="A68" s="85"/>
      <c r="B68" s="39">
        <v>868</v>
      </c>
      <c r="C68" s="53">
        <v>644.928</v>
      </c>
      <c r="D68" s="54">
        <v>785.95689999999991</v>
      </c>
      <c r="E68" s="55">
        <v>39.176900000000003</v>
      </c>
      <c r="F68" s="56">
        <v>30.13</v>
      </c>
      <c r="G68" s="57">
        <v>1.89</v>
      </c>
      <c r="H68" s="58">
        <v>1.96</v>
      </c>
      <c r="I68" s="57">
        <v>-1.06</v>
      </c>
      <c r="J68" s="58">
        <v>-5.07</v>
      </c>
      <c r="K68" s="45">
        <v>12.986000000000001</v>
      </c>
      <c r="L68" s="45">
        <v>4.7064516129032254</v>
      </c>
      <c r="M68" s="45">
        <v>-5.6199999046325679</v>
      </c>
      <c r="N68" s="185"/>
      <c r="O68" s="9"/>
      <c r="P68" s="10"/>
      <c r="Q68" s="10"/>
      <c r="R68" s="5"/>
      <c r="S68" s="6"/>
      <c r="T68" s="6"/>
      <c r="U68" s="178"/>
      <c r="V68" s="9"/>
      <c r="W68" s="10"/>
      <c r="X68" s="10"/>
      <c r="AA68" s="187">
        <v>868</v>
      </c>
      <c r="AB68" s="188"/>
      <c r="AC68" s="135">
        <v>4.1176470588235299</v>
      </c>
      <c r="AD68" s="136" t="str">
        <f t="shared" si="15"/>
        <v>156 (MXUA)</v>
      </c>
      <c r="AE68" s="135">
        <v>0.19607843137254832</v>
      </c>
      <c r="AF68" s="136" t="str">
        <f t="shared" si="16"/>
        <v>7 (MXUA)</v>
      </c>
      <c r="AG68" s="135">
        <v>-1.8431372549019609</v>
      </c>
      <c r="AH68" s="136" t="str">
        <f t="shared" si="0"/>
        <v>-71 (BMWC)</v>
      </c>
      <c r="AI68" s="135">
        <v>-1.8431372549019609</v>
      </c>
      <c r="AJ68" s="136" t="str">
        <f t="shared" si="1"/>
        <v>-71 (BMWC)</v>
      </c>
      <c r="AK68" s="152"/>
      <c r="AM68" s="11" t="s">
        <v>97</v>
      </c>
      <c r="AN68" s="11"/>
      <c r="AO68" s="11" t="s">
        <v>97</v>
      </c>
      <c r="AP68" s="11"/>
      <c r="AQ68" s="11" t="s">
        <v>124</v>
      </c>
      <c r="AR68" s="11"/>
      <c r="AS68" s="11" t="s">
        <v>124</v>
      </c>
      <c r="AT68" s="11"/>
      <c r="AU68" s="187">
        <f t="shared" si="2"/>
        <v>868</v>
      </c>
      <c r="AV68" s="188"/>
      <c r="AW68" s="211">
        <f t="shared" si="3"/>
        <v>4.1176470588235299</v>
      </c>
      <c r="AX68" s="212"/>
      <c r="AY68" s="209">
        <f t="shared" si="4"/>
        <v>156</v>
      </c>
      <c r="AZ68" s="210"/>
      <c r="BA68" s="211">
        <f t="shared" si="5"/>
        <v>-1.8431372549019609</v>
      </c>
      <c r="BB68" s="212"/>
      <c r="BC68" s="209">
        <f t="shared" si="6"/>
        <v>-71</v>
      </c>
      <c r="BD68" s="210"/>
      <c r="BE68" s="207">
        <f t="shared" si="7"/>
        <v>-71</v>
      </c>
      <c r="BF68" s="208"/>
      <c r="BG68" s="197"/>
      <c r="BK68" s="63">
        <f t="shared" si="8"/>
        <v>-2.9803921568627452</v>
      </c>
      <c r="BL68" s="1">
        <f t="shared" si="9"/>
        <v>868</v>
      </c>
      <c r="BM68" s="1">
        <f>-BK60</f>
        <v>3382.794871794898</v>
      </c>
      <c r="BN68" s="1">
        <f>BL60</f>
        <v>340</v>
      </c>
      <c r="BP68" s="63">
        <f t="shared" si="10"/>
        <v>-2.9803921568627452</v>
      </c>
      <c r="BQ68" s="1">
        <f t="shared" si="11"/>
        <v>868</v>
      </c>
      <c r="BR68" s="1">
        <f>-BP60</f>
        <v>1696.6985111662661</v>
      </c>
      <c r="BS68" s="1">
        <f>BQ60</f>
        <v>340</v>
      </c>
      <c r="BV68" s="1">
        <f t="shared" si="12"/>
        <v>868</v>
      </c>
      <c r="BW68" s="63">
        <f t="shared" si="13"/>
        <v>4.1176470588235299</v>
      </c>
      <c r="BX68" s="63">
        <f t="shared" si="14"/>
        <v>-1.8431372549019609</v>
      </c>
      <c r="BY68" s="1">
        <f>-BV60</f>
        <v>-340</v>
      </c>
      <c r="BZ68" s="63">
        <f>BW60</f>
        <v>10.602150537634412</v>
      </c>
      <c r="CA68" s="63">
        <f>BX60</f>
        <v>-3382.794871794898</v>
      </c>
      <c r="CF68" s="112">
        <v>-5.07</v>
      </c>
      <c r="CG68" s="45">
        <v>2.9499999999999997</v>
      </c>
      <c r="CH68" s="45">
        <v>2.9499999999999997</v>
      </c>
    </row>
    <row r="69" spans="1:86" ht="18" customHeight="1" x14ac:dyDescent="0.2">
      <c r="A69" s="78">
        <v>4</v>
      </c>
      <c r="B69" s="24">
        <v>340</v>
      </c>
      <c r="C69" s="25">
        <v>116.928</v>
      </c>
      <c r="D69" s="26">
        <v>257.95690000000002</v>
      </c>
      <c r="E69" s="27">
        <v>94.001900000000006</v>
      </c>
      <c r="F69" s="28">
        <v>24.757000000000001</v>
      </c>
      <c r="G69" s="29">
        <v>4.67</v>
      </c>
      <c r="H69" s="30">
        <v>4.7</v>
      </c>
      <c r="I69" s="29">
        <v>-3.17</v>
      </c>
      <c r="J69" s="30">
        <v>-7.07</v>
      </c>
      <c r="K69" s="30">
        <v>12.295999999999999</v>
      </c>
      <c r="L69" s="30">
        <v>5.5731182795698926</v>
      </c>
      <c r="M69" s="30">
        <v>-10.179999904632568</v>
      </c>
      <c r="N69" s="185"/>
      <c r="O69" s="9"/>
      <c r="P69" s="10"/>
      <c r="Q69" s="10"/>
      <c r="R69" s="5"/>
      <c r="S69" s="6"/>
      <c r="T69" s="6"/>
      <c r="U69" s="178"/>
      <c r="V69" s="9"/>
      <c r="W69" s="10"/>
      <c r="X69" s="10"/>
      <c r="AA69" s="125"/>
      <c r="AB69" s="125"/>
      <c r="AC69" s="125"/>
      <c r="AD69" s="125"/>
      <c r="AE69" s="125"/>
      <c r="AF69" s="125"/>
      <c r="AG69" s="125"/>
      <c r="AH69" s="126"/>
      <c r="AI69" s="125"/>
      <c r="AJ69" s="124"/>
      <c r="AK69" s="152"/>
      <c r="AU69" s="125"/>
      <c r="AV69" s="125"/>
      <c r="AW69" s="125"/>
      <c r="AX69" s="125"/>
      <c r="AY69" s="125"/>
      <c r="AZ69" s="125"/>
      <c r="BA69" s="125"/>
      <c r="BB69" s="126"/>
      <c r="BC69" s="126"/>
      <c r="BD69" s="126"/>
      <c r="BE69" s="125"/>
      <c r="BF69" s="124"/>
      <c r="BG69" s="197"/>
      <c r="BJ69" s="93">
        <v>1</v>
      </c>
      <c r="BK69" s="63">
        <f>BK68+(BK68-BK67)*BJ69</f>
        <v>-2.980586293923511</v>
      </c>
      <c r="BL69" s="63">
        <f>BL68+(BL68-BL67)*BJ69</f>
        <v>934</v>
      </c>
      <c r="BM69" s="63">
        <f>BM68+(BM68-BM67)*BJ59</f>
        <v>6761.2988753936643</v>
      </c>
      <c r="BN69" s="63">
        <f>BN68+(BN68-BN67)*BJ59</f>
        <v>274</v>
      </c>
      <c r="BO69" s="93">
        <v>1</v>
      </c>
      <c r="BP69" s="63">
        <f>BP68+(BP68-BP67)*BO69</f>
        <v>-2.980586293923511</v>
      </c>
      <c r="BQ69" s="63">
        <f>BQ68+(BQ68-BQ67)*BO69</f>
        <v>934</v>
      </c>
      <c r="BR69" s="63">
        <f>BR68+(BR68-BR67)*BO59</f>
        <v>18620.774940867614</v>
      </c>
      <c r="BS69" s="63">
        <f>BS68+(BS68-BS67)*BO59</f>
        <v>-320</v>
      </c>
      <c r="CF69" s="110">
        <v>-7.07</v>
      </c>
      <c r="CG69" s="30">
        <v>0.73</v>
      </c>
      <c r="CH69" s="30">
        <v>0.73</v>
      </c>
    </row>
    <row r="70" spans="1:86" ht="18" customHeight="1" x14ac:dyDescent="0.2">
      <c r="A70" s="80"/>
      <c r="B70" s="32">
        <v>406</v>
      </c>
      <c r="C70" s="33">
        <v>182.928</v>
      </c>
      <c r="D70" s="34">
        <v>323.95689999999996</v>
      </c>
      <c r="E70" s="35">
        <v>84.436999999999998</v>
      </c>
      <c r="F70" s="36">
        <v>27.506000000000004</v>
      </c>
      <c r="G70" s="37">
        <v>4.1900000000000004</v>
      </c>
      <c r="H70" s="38">
        <v>4.22</v>
      </c>
      <c r="I70" s="37">
        <v>-2.36</v>
      </c>
      <c r="J70" s="38">
        <v>-6.28</v>
      </c>
      <c r="K70" s="38">
        <v>11.346</v>
      </c>
      <c r="L70" s="38">
        <v>5.4430107526881724</v>
      </c>
      <c r="M70" s="38">
        <v>-9.4699999046325694</v>
      </c>
      <c r="N70" s="185"/>
      <c r="O70" s="9"/>
      <c r="P70" s="10"/>
      <c r="Q70" s="10"/>
      <c r="R70" s="5"/>
      <c r="S70" s="6"/>
      <c r="T70" s="6"/>
      <c r="U70" s="178"/>
      <c r="V70" s="9"/>
      <c r="W70" s="10"/>
      <c r="X70" s="10"/>
      <c r="AA70" s="125"/>
      <c r="AB70" s="125"/>
      <c r="AC70" s="125"/>
      <c r="AD70" s="125"/>
      <c r="AE70" s="125"/>
      <c r="AF70" s="125"/>
      <c r="AG70" s="125"/>
      <c r="AH70" s="125"/>
      <c r="AI70" s="125"/>
      <c r="AJ70" s="124"/>
      <c r="AK70" s="152"/>
      <c r="AU70" s="125"/>
      <c r="AV70" s="125"/>
      <c r="AW70" s="125"/>
      <c r="AX70" s="125"/>
      <c r="AY70" s="125"/>
      <c r="AZ70" s="125"/>
      <c r="BA70" s="125"/>
      <c r="BB70" s="125"/>
      <c r="BC70" s="125"/>
      <c r="BD70" s="125"/>
      <c r="BE70" s="125"/>
      <c r="BF70" s="124"/>
      <c r="BG70" s="197"/>
      <c r="CF70" s="111">
        <v>-6.29</v>
      </c>
      <c r="CG70" s="38">
        <v>1.5700000000000003</v>
      </c>
      <c r="CH70" s="38">
        <v>1.5700000000000003</v>
      </c>
    </row>
    <row r="71" spans="1:86" ht="18" customHeight="1" x14ac:dyDescent="0.2">
      <c r="A71" s="80"/>
      <c r="B71" s="32">
        <v>472</v>
      </c>
      <c r="C71" s="33">
        <v>248.928</v>
      </c>
      <c r="D71" s="34">
        <v>389.95690000000002</v>
      </c>
      <c r="E71" s="35">
        <v>77.940300000000008</v>
      </c>
      <c r="F71" s="36">
        <v>30.262</v>
      </c>
      <c r="G71" s="37">
        <v>3.86</v>
      </c>
      <c r="H71" s="38">
        <v>3.9</v>
      </c>
      <c r="I71" s="37">
        <v>-1.76</v>
      </c>
      <c r="J71" s="38">
        <v>-5.71</v>
      </c>
      <c r="K71" s="38">
        <v>10.829000000000001</v>
      </c>
      <c r="L71" s="38">
        <v>5.3193548387096774</v>
      </c>
      <c r="M71" s="38">
        <v>-8.9699999046325694</v>
      </c>
      <c r="N71" s="185"/>
      <c r="O71" s="9"/>
      <c r="P71" s="10"/>
      <c r="Q71" s="10"/>
      <c r="R71" s="5"/>
      <c r="S71" s="6"/>
      <c r="T71" s="6"/>
      <c r="U71" s="178"/>
      <c r="V71" s="9"/>
      <c r="W71" s="10"/>
      <c r="X71" s="10"/>
      <c r="AA71" s="127"/>
      <c r="AB71" s="127"/>
      <c r="AC71" s="127"/>
      <c r="AD71" s="127"/>
      <c r="AE71" s="127"/>
      <c r="AF71" s="127"/>
      <c r="AG71" s="127"/>
      <c r="AH71" s="127"/>
      <c r="AI71" s="125"/>
      <c r="AJ71" s="124"/>
      <c r="AK71" s="152"/>
      <c r="AU71" s="127"/>
      <c r="AV71" s="127"/>
      <c r="AW71" s="127"/>
      <c r="AX71" s="127"/>
      <c r="AY71" s="127"/>
      <c r="AZ71" s="127"/>
      <c r="BA71" s="127"/>
      <c r="BB71" s="127"/>
      <c r="BC71" s="127"/>
      <c r="BD71" s="127"/>
      <c r="BE71" s="125"/>
      <c r="BF71" s="124"/>
      <c r="BG71" s="197"/>
      <c r="BK71" s="102">
        <v>6.5</v>
      </c>
      <c r="BL71" s="102" t="e">
        <f>IF(BK72=BM72,BL72,(BN72-BL72)/(BM72-BK72)*(BK71-BK72)+BL72)</f>
        <v>#N/A</v>
      </c>
      <c r="BP71" s="102">
        <v>5</v>
      </c>
      <c r="BQ71" s="102" t="e">
        <f>IF(BR72=BP72,BQ72,(BS72-BQ72)/(BR72-BP72)*(BP71-BP72)+BQ72)</f>
        <v>#N/A</v>
      </c>
      <c r="BV71" s="1" t="e">
        <f>BV57</f>
        <v>#N/A</v>
      </c>
      <c r="BW71" s="100" t="e">
        <f>IF(BV72=BY72,BW72,(BZ72-BW72)/(BY72-BV72)*(BV71-BV72)+BW72)</f>
        <v>#N/A</v>
      </c>
      <c r="BX71" s="100" t="e">
        <f>IF(BV72=BY72,BX72,(CA72-BX72)/(BY72-BV72)*(BV71-BV72)+BX72)</f>
        <v>#N/A</v>
      </c>
      <c r="BY71" s="102" t="e">
        <f>(BX71-BW71)/2</f>
        <v>#N/A</v>
      </c>
      <c r="CF71" s="111">
        <v>-5.71</v>
      </c>
      <c r="CG71" s="38">
        <v>2.1900000000000004</v>
      </c>
      <c r="CH71" s="38">
        <v>2.1900000000000004</v>
      </c>
    </row>
    <row r="72" spans="1:86" ht="18" customHeight="1" x14ac:dyDescent="0.2">
      <c r="A72" s="80"/>
      <c r="B72" s="32">
        <v>538</v>
      </c>
      <c r="C72" s="33">
        <v>314.928</v>
      </c>
      <c r="D72" s="34">
        <v>455.95690000000002</v>
      </c>
      <c r="E72" s="35">
        <v>73.236900000000006</v>
      </c>
      <c r="F72" s="36">
        <v>33.026000000000003</v>
      </c>
      <c r="G72" s="37">
        <v>3.62</v>
      </c>
      <c r="H72" s="38">
        <v>3.66</v>
      </c>
      <c r="I72" s="37">
        <v>-1.31</v>
      </c>
      <c r="J72" s="38">
        <v>-5.27</v>
      </c>
      <c r="K72" s="38">
        <v>10.581</v>
      </c>
      <c r="L72" s="38">
        <v>5.2021505376344086</v>
      </c>
      <c r="M72" s="38">
        <v>-8.5899999046325686</v>
      </c>
      <c r="N72" s="185"/>
      <c r="O72" s="3"/>
      <c r="P72" s="3"/>
      <c r="Q72" s="3"/>
      <c r="R72" s="4"/>
      <c r="S72" s="4"/>
      <c r="T72" s="4"/>
      <c r="U72" s="178"/>
      <c r="V72" s="3"/>
      <c r="W72" s="3"/>
      <c r="X72" s="3"/>
      <c r="AA72" s="127"/>
      <c r="AB72" s="127"/>
      <c r="AC72" s="127"/>
      <c r="AD72" s="127"/>
      <c r="AE72" s="127"/>
      <c r="AF72" s="127"/>
      <c r="AG72" s="127"/>
      <c r="AH72" s="127"/>
      <c r="AI72" s="125"/>
      <c r="AJ72" s="124"/>
      <c r="AK72" s="152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25"/>
      <c r="BF72" s="124"/>
      <c r="BG72" s="197"/>
      <c r="BK72" s="1">
        <f>VLOOKUP($BK71,BK73:BL83,1)</f>
        <v>-2.1615220345563975</v>
      </c>
      <c r="BL72" s="1">
        <f>VLOOKUP($BK71,BK73:BL83,2)</f>
        <v>934</v>
      </c>
      <c r="BM72" s="1" t="e">
        <f>-VLOOKUP(-$BK71,BM73:BN83,1)</f>
        <v>#N/A</v>
      </c>
      <c r="BN72" s="1" t="e">
        <f>VLOOKUP(-$BK71,BM73:BN83,2)</f>
        <v>#N/A</v>
      </c>
      <c r="BP72" s="1">
        <f>VLOOKUP($BP71,BP73:BQ83,1)</f>
        <v>-1.039215686274511</v>
      </c>
      <c r="BQ72" s="1">
        <f>VLOOKUP($BP71,BP73:BQ83,2)</f>
        <v>934</v>
      </c>
      <c r="BR72" s="1" t="e">
        <f>-VLOOKUP(-$BP71,BR73:BS83,1)</f>
        <v>#N/A</v>
      </c>
      <c r="BS72" s="1" t="e">
        <f>VLOOKUP(-$BP71,BR73:BS83,2)</f>
        <v>#N/A</v>
      </c>
      <c r="BV72" s="1" t="e">
        <f>VLOOKUP($BV$57,$BV74:$BX82,1)</f>
        <v>#N/A</v>
      </c>
      <c r="BW72" s="1" t="e">
        <f>VLOOKUP($BV$57,$BV74:$BX82,2)</f>
        <v>#N/A</v>
      </c>
      <c r="BX72" s="1" t="e">
        <f>VLOOKUP($BV$57,$BV74:$BX82,3)</f>
        <v>#N/A</v>
      </c>
      <c r="BY72" s="1" t="e">
        <f>-VLOOKUP(-$BV$57,$BY74:$CA82,1)</f>
        <v>#N/A</v>
      </c>
      <c r="BZ72" s="1" t="e">
        <f>VLOOKUP(-$BV$57,$BY74:$CA82,2)</f>
        <v>#N/A</v>
      </c>
      <c r="CA72" s="1" t="e">
        <f>VLOOKUP(-$BV$57,$BY74:$CA82,3)</f>
        <v>#N/A</v>
      </c>
      <c r="CF72" s="111">
        <v>-5.27</v>
      </c>
      <c r="CG72" s="38">
        <v>2.65</v>
      </c>
      <c r="CH72" s="38">
        <v>2.65</v>
      </c>
    </row>
    <row r="73" spans="1:86" ht="18" customHeight="1" x14ac:dyDescent="0.2">
      <c r="A73" s="80"/>
      <c r="B73" s="32">
        <v>604</v>
      </c>
      <c r="C73" s="33">
        <v>380.928</v>
      </c>
      <c r="D73" s="34">
        <v>521.95690000000002</v>
      </c>
      <c r="E73" s="35">
        <v>69.670699999999997</v>
      </c>
      <c r="F73" s="36">
        <v>35.798999999999999</v>
      </c>
      <c r="G73" s="37">
        <v>3.44</v>
      </c>
      <c r="H73" s="38">
        <v>3.48</v>
      </c>
      <c r="I73" s="37">
        <v>-0.95</v>
      </c>
      <c r="J73" s="38">
        <v>-4.93</v>
      </c>
      <c r="K73" s="38">
        <v>10.513</v>
      </c>
      <c r="L73" s="38">
        <v>5.0924731182795693</v>
      </c>
      <c r="M73" s="38">
        <v>-8.2599999046325685</v>
      </c>
      <c r="N73" s="185"/>
      <c r="O73" s="3"/>
      <c r="P73" s="3"/>
      <c r="Q73" s="3"/>
      <c r="R73" s="4"/>
      <c r="S73" s="4"/>
      <c r="T73" s="4"/>
      <c r="U73" s="178"/>
      <c r="V73" s="3"/>
      <c r="W73" s="3"/>
      <c r="X73" s="3"/>
      <c r="AA73" s="127"/>
      <c r="AB73" s="127"/>
      <c r="AC73" s="127"/>
      <c r="AD73" s="127"/>
      <c r="AE73" s="127"/>
      <c r="AF73" s="127"/>
      <c r="AG73" s="127"/>
      <c r="AH73" s="127"/>
      <c r="AI73" s="128"/>
      <c r="AJ73" s="124"/>
      <c r="AK73" s="152"/>
      <c r="AU73" s="127"/>
      <c r="AV73" s="127"/>
      <c r="AW73" s="127"/>
      <c r="AX73" s="127"/>
      <c r="AY73" s="127"/>
      <c r="AZ73" s="127"/>
      <c r="BA73" s="127"/>
      <c r="BB73" s="127"/>
      <c r="BC73" s="127"/>
      <c r="BD73" s="127"/>
      <c r="BE73" s="128"/>
      <c r="BF73" s="124"/>
      <c r="BG73" s="197"/>
      <c r="BJ73" s="1">
        <f>BJ59</f>
        <v>1</v>
      </c>
      <c r="BK73" s="63">
        <f>BK74-(BK75-BK74)*BJ73</f>
        <v>-6764.6780974531775</v>
      </c>
      <c r="BL73" s="63">
        <f>BL74-(BL75-BL74)*BJ73</f>
        <v>274</v>
      </c>
      <c r="BM73" s="63">
        <f>BM74-(BM75-BM74)*BJ83</f>
        <v>2.1615220345563975</v>
      </c>
      <c r="BN73" s="63">
        <f>BN74-(BN75-BN74)*BJ83</f>
        <v>934</v>
      </c>
      <c r="BO73" s="1">
        <f>BO59</f>
        <v>10</v>
      </c>
      <c r="BP73" s="63">
        <f>BP74-(BP75-BP74)*BO73</f>
        <v>-18630.911247484255</v>
      </c>
      <c r="BQ73" s="63">
        <f>BQ74-(BQ75-BQ74)*BO73</f>
        <v>-320</v>
      </c>
      <c r="BR73" s="63">
        <f>BR74-(BR75-BR74)*BO83</f>
        <v>1.039215686274511</v>
      </c>
      <c r="BS73" s="63">
        <f>BS74-(BS75-BS74)*BO83</f>
        <v>934</v>
      </c>
      <c r="CF73" s="111">
        <v>-4.92</v>
      </c>
      <c r="CG73" s="38">
        <v>3.0200000000000005</v>
      </c>
      <c r="CH73" s="38">
        <v>3.0200000000000005</v>
      </c>
    </row>
    <row r="74" spans="1:86" ht="18" customHeight="1" x14ac:dyDescent="0.2">
      <c r="A74" s="80"/>
      <c r="B74" s="32">
        <v>670</v>
      </c>
      <c r="C74" s="33">
        <v>446.928</v>
      </c>
      <c r="D74" s="34">
        <v>587.95690000000002</v>
      </c>
      <c r="E74" s="35">
        <v>66.8703</v>
      </c>
      <c r="F74" s="36">
        <v>38.579000000000001</v>
      </c>
      <c r="G74" s="37">
        <v>3.29</v>
      </c>
      <c r="H74" s="38">
        <v>3.34</v>
      </c>
      <c r="I74" s="37">
        <v>-0.66</v>
      </c>
      <c r="J74" s="38">
        <v>-4.6500000000000004</v>
      </c>
      <c r="K74" s="38">
        <v>11.13</v>
      </c>
      <c r="L74" s="38">
        <v>4.9870967741935486</v>
      </c>
      <c r="M74" s="38">
        <v>-7.9799999046325683</v>
      </c>
      <c r="N74" s="185"/>
      <c r="O74" s="3"/>
      <c r="P74" s="3"/>
      <c r="Q74" s="3"/>
      <c r="R74" s="4"/>
      <c r="S74" s="4"/>
      <c r="T74" s="4"/>
      <c r="U74" s="178"/>
      <c r="V74" s="3"/>
      <c r="W74" s="3"/>
      <c r="X74" s="3"/>
      <c r="AA74" s="127"/>
      <c r="AB74" s="127"/>
      <c r="AC74" s="127"/>
      <c r="AD74" s="127"/>
      <c r="AE74" s="127"/>
      <c r="AF74" s="127"/>
      <c r="AG74" s="127"/>
      <c r="AH74" s="127"/>
      <c r="AI74" s="126"/>
      <c r="AJ74" s="124"/>
      <c r="AK74" s="152"/>
      <c r="AU74" s="127"/>
      <c r="AV74" s="127"/>
      <c r="AW74" s="127"/>
      <c r="AX74" s="127"/>
      <c r="AY74" s="127"/>
      <c r="AZ74" s="127"/>
      <c r="BA74" s="127"/>
      <c r="BB74" s="127"/>
      <c r="BC74" s="127"/>
      <c r="BD74" s="127"/>
      <c r="BE74" s="126"/>
      <c r="BF74" s="124"/>
      <c r="BG74" s="197"/>
      <c r="BK74" s="63">
        <f t="shared" ref="BK74:BK82" si="17">BL87</f>
        <v>-3382.794871794898</v>
      </c>
      <c r="BL74" s="1">
        <f t="shared" ref="BL74:BL82" si="18">BK87</f>
        <v>340</v>
      </c>
      <c r="BM74" s="1">
        <f>-BK82</f>
        <v>1.8431372549019609</v>
      </c>
      <c r="BN74" s="1">
        <f>BL82</f>
        <v>868</v>
      </c>
      <c r="BP74" s="63">
        <f t="shared" ref="BP74:BP82" si="19">BQ87</f>
        <v>-1694.5479735318577</v>
      </c>
      <c r="BQ74" s="1">
        <f t="shared" ref="BQ74:BQ82" si="20">BP87</f>
        <v>340</v>
      </c>
      <c r="BR74" s="1">
        <f>-BP82</f>
        <v>1.0196078431372546</v>
      </c>
      <c r="BS74" s="1">
        <f>BQ82</f>
        <v>868</v>
      </c>
      <c r="BV74" s="1">
        <f t="shared" ref="BV74:BV82" si="21">AA60</f>
        <v>340</v>
      </c>
      <c r="BW74" s="63">
        <f t="shared" ref="BW74:BW82" si="22">AE60</f>
        <v>6.3010752688172058</v>
      </c>
      <c r="BX74" s="63">
        <f t="shared" ref="BX74:BX82" si="23">AI60</f>
        <v>-3382.794871794898</v>
      </c>
      <c r="BY74" s="1">
        <f>-BV82</f>
        <v>-868</v>
      </c>
      <c r="BZ74" s="63">
        <f>BW82</f>
        <v>0.19607843137254832</v>
      </c>
      <c r="CA74" s="63">
        <f>BX82</f>
        <v>-1.8431372549019609</v>
      </c>
      <c r="CF74" s="111">
        <v>-4.6399999999999997</v>
      </c>
      <c r="CG74" s="38">
        <v>3.32</v>
      </c>
      <c r="CH74" s="38">
        <v>3.32</v>
      </c>
    </row>
    <row r="75" spans="1:86" ht="18" customHeight="1" x14ac:dyDescent="0.2">
      <c r="A75" s="80"/>
      <c r="B75" s="32">
        <v>736</v>
      </c>
      <c r="C75" s="33">
        <v>512.928</v>
      </c>
      <c r="D75" s="34">
        <v>653.95689999999991</v>
      </c>
      <c r="E75" s="35">
        <v>64.610100000000003</v>
      </c>
      <c r="F75" s="36">
        <v>41.368000000000002</v>
      </c>
      <c r="G75" s="37">
        <v>3.17</v>
      </c>
      <c r="H75" s="38">
        <v>3.23</v>
      </c>
      <c r="I75" s="37">
        <v>-0.42</v>
      </c>
      <c r="J75" s="38">
        <v>-4.42</v>
      </c>
      <c r="K75" s="38">
        <v>11.821</v>
      </c>
      <c r="L75" s="38">
        <v>4.8881720430107523</v>
      </c>
      <c r="M75" s="38">
        <v>-7.7199999046325685</v>
      </c>
      <c r="N75" s="185"/>
      <c r="O75" s="9"/>
      <c r="P75" s="10"/>
      <c r="Q75" s="10"/>
      <c r="R75" s="8"/>
      <c r="S75" s="8"/>
      <c r="T75" s="8"/>
      <c r="U75" s="178"/>
      <c r="V75" s="9"/>
      <c r="W75" s="10"/>
      <c r="X75" s="10"/>
      <c r="AA75" s="127"/>
      <c r="AB75" s="127"/>
      <c r="AC75" s="127"/>
      <c r="AD75" s="127"/>
      <c r="AE75" s="127"/>
      <c r="AF75" s="127"/>
      <c r="AG75" s="127"/>
      <c r="AH75" s="127"/>
      <c r="AI75" s="126"/>
      <c r="AJ75" s="124"/>
      <c r="AK75" s="152"/>
      <c r="AU75" s="127"/>
      <c r="AV75" s="127"/>
      <c r="AW75" s="127"/>
      <c r="AX75" s="127"/>
      <c r="AY75" s="127"/>
      <c r="AZ75" s="127"/>
      <c r="BA75" s="127"/>
      <c r="BB75" s="127"/>
      <c r="BC75" s="127"/>
      <c r="BD75" s="127"/>
      <c r="BE75" s="126"/>
      <c r="BF75" s="124"/>
      <c r="BG75" s="197"/>
      <c r="BK75" s="63">
        <f t="shared" si="17"/>
        <v>-0.91164613661814187</v>
      </c>
      <c r="BL75" s="1">
        <f t="shared" si="18"/>
        <v>406</v>
      </c>
      <c r="BM75" s="1">
        <f>-BK81</f>
        <v>1.5247524752475243</v>
      </c>
      <c r="BN75" s="1">
        <f>BL81</f>
        <v>802</v>
      </c>
      <c r="BP75" s="63">
        <f t="shared" si="19"/>
        <v>-0.91164613661814187</v>
      </c>
      <c r="BQ75" s="1">
        <f t="shared" si="20"/>
        <v>406</v>
      </c>
      <c r="BR75" s="1">
        <f>-BP81</f>
        <v>0.99999999999999822</v>
      </c>
      <c r="BS75" s="1">
        <f>BQ81</f>
        <v>802</v>
      </c>
      <c r="BV75" s="1">
        <f t="shared" si="21"/>
        <v>406</v>
      </c>
      <c r="BW75" s="63">
        <f t="shared" si="22"/>
        <v>4.6105263157894747</v>
      </c>
      <c r="BX75" s="63">
        <f t="shared" si="23"/>
        <v>2.787234042553191</v>
      </c>
      <c r="BY75" s="1">
        <f>-BV81</f>
        <v>-802</v>
      </c>
      <c r="BZ75" s="63">
        <f>BW81</f>
        <v>0.47524752475247212</v>
      </c>
      <c r="CA75" s="63">
        <f>BX81</f>
        <v>-1.5247524752475243</v>
      </c>
      <c r="CF75" s="111">
        <v>-4.41</v>
      </c>
      <c r="CG75" s="38">
        <v>3.5700000000000003</v>
      </c>
      <c r="CH75" s="38">
        <v>3.5700000000000003</v>
      </c>
    </row>
    <row r="76" spans="1:86" ht="18" customHeight="1" x14ac:dyDescent="0.2">
      <c r="A76" s="84"/>
      <c r="B76" s="32">
        <v>802</v>
      </c>
      <c r="C76" s="33">
        <v>578.928</v>
      </c>
      <c r="D76" s="34">
        <v>719.95690000000002</v>
      </c>
      <c r="E76" s="49">
        <v>62.744299999999996</v>
      </c>
      <c r="F76" s="50">
        <v>44.164999999999999</v>
      </c>
      <c r="G76" s="51">
        <v>3.08</v>
      </c>
      <c r="H76" s="52">
        <v>3.14</v>
      </c>
      <c r="I76" s="51">
        <v>-0.22</v>
      </c>
      <c r="J76" s="52">
        <v>-4.22</v>
      </c>
      <c r="K76" s="38">
        <v>12.523</v>
      </c>
      <c r="L76" s="38">
        <v>4.7946236559139779</v>
      </c>
      <c r="M76" s="38">
        <v>-7.4699999046325685</v>
      </c>
      <c r="N76" s="185"/>
      <c r="O76" s="9"/>
      <c r="P76" s="10"/>
      <c r="Q76" s="10"/>
      <c r="R76" s="5"/>
      <c r="S76" s="6"/>
      <c r="T76" s="6"/>
      <c r="U76" s="178"/>
      <c r="V76" s="9"/>
      <c r="W76" s="10"/>
      <c r="X76" s="10"/>
      <c r="AA76" s="127"/>
      <c r="AB76" s="127"/>
      <c r="AC76" s="127"/>
      <c r="AD76" s="127"/>
      <c r="AE76" s="127"/>
      <c r="AF76" s="127"/>
      <c r="AG76" s="127"/>
      <c r="AH76" s="127"/>
      <c r="AI76" s="126"/>
      <c r="AJ76" s="124"/>
      <c r="AK76" s="152"/>
      <c r="AU76" s="127"/>
      <c r="AV76" s="127"/>
      <c r="AW76" s="127"/>
      <c r="AX76" s="127"/>
      <c r="AY76" s="127"/>
      <c r="AZ76" s="127"/>
      <c r="BA76" s="127"/>
      <c r="BB76" s="127"/>
      <c r="BC76" s="127"/>
      <c r="BD76" s="127"/>
      <c r="BE76" s="126"/>
      <c r="BF76" s="124"/>
      <c r="BG76" s="197"/>
      <c r="BK76" s="63">
        <f t="shared" si="17"/>
        <v>-0.92708333333333381</v>
      </c>
      <c r="BL76" s="1">
        <f t="shared" si="18"/>
        <v>472</v>
      </c>
      <c r="BM76" s="1">
        <f>-BK80</f>
        <v>1.1287128712871288</v>
      </c>
      <c r="BN76" s="1">
        <f>BL80</f>
        <v>736</v>
      </c>
      <c r="BP76" s="63">
        <f t="shared" si="19"/>
        <v>-0.92708333333333381</v>
      </c>
      <c r="BQ76" s="1">
        <f t="shared" si="20"/>
        <v>472</v>
      </c>
      <c r="BR76" s="1">
        <f>-BP80</f>
        <v>0.97435643564356456</v>
      </c>
      <c r="BS76" s="1">
        <f>BQ80</f>
        <v>736</v>
      </c>
      <c r="BV76" s="1">
        <f t="shared" si="21"/>
        <v>472</v>
      </c>
      <c r="BW76" s="63">
        <f t="shared" si="22"/>
        <v>3.3958333333333339</v>
      </c>
      <c r="BX76" s="63">
        <f t="shared" si="23"/>
        <v>1.5416666666666663</v>
      </c>
      <c r="BY76" s="1">
        <f>-BV80</f>
        <v>-736</v>
      </c>
      <c r="BZ76" s="63">
        <f>BW80</f>
        <v>0.82000000000000028</v>
      </c>
      <c r="CA76" s="63">
        <f>BX80</f>
        <v>-1.1287128712871288</v>
      </c>
      <c r="CF76" s="111">
        <v>-4.22</v>
      </c>
      <c r="CG76" s="38">
        <v>3.78</v>
      </c>
      <c r="CH76" s="38">
        <v>3.78</v>
      </c>
    </row>
    <row r="77" spans="1:86" ht="18" customHeight="1" thickBot="1" x14ac:dyDescent="0.25">
      <c r="A77" s="85"/>
      <c r="B77" s="39">
        <v>868</v>
      </c>
      <c r="C77" s="53">
        <v>644.928</v>
      </c>
      <c r="D77" s="54">
        <v>785.95689999999991</v>
      </c>
      <c r="E77" s="55">
        <v>61.174399999999991</v>
      </c>
      <c r="F77" s="56">
        <v>46.968000000000004</v>
      </c>
      <c r="G77" s="57">
        <v>2.99</v>
      </c>
      <c r="H77" s="58">
        <v>3.06</v>
      </c>
      <c r="I77" s="57">
        <v>-0.05</v>
      </c>
      <c r="J77" s="58">
        <v>-4.0599999999999996</v>
      </c>
      <c r="K77" s="59">
        <v>13.234</v>
      </c>
      <c r="L77" s="59">
        <v>4.7064516129032254</v>
      </c>
      <c r="M77" s="59">
        <v>-7.2299999046325683</v>
      </c>
      <c r="N77" s="185"/>
      <c r="O77" s="9"/>
      <c r="P77" s="10"/>
      <c r="Q77" s="10"/>
      <c r="R77" s="5"/>
      <c r="S77" s="6"/>
      <c r="T77" s="6"/>
      <c r="U77" s="178"/>
      <c r="V77" s="9"/>
      <c r="W77" s="10"/>
      <c r="X77" s="10"/>
      <c r="AA77" s="127"/>
      <c r="AB77" s="127"/>
      <c r="AC77" s="127"/>
      <c r="AD77" s="127"/>
      <c r="AE77" s="127"/>
      <c r="AF77" s="127"/>
      <c r="AG77" s="127"/>
      <c r="AH77" s="127"/>
      <c r="AI77" s="126"/>
      <c r="AJ77" s="124"/>
      <c r="AK77" s="152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26"/>
      <c r="BF77" s="124"/>
      <c r="BG77" s="197"/>
      <c r="BK77" s="63">
        <f t="shared" si="17"/>
        <v>-0.93099095308226487</v>
      </c>
      <c r="BL77" s="1">
        <f t="shared" si="18"/>
        <v>538</v>
      </c>
      <c r="BM77" s="1">
        <f>-BK79</f>
        <v>0.95959595959595889</v>
      </c>
      <c r="BN77" s="1">
        <f>BL79</f>
        <v>670</v>
      </c>
      <c r="BP77" s="63">
        <f t="shared" si="19"/>
        <v>-0.93099095308226487</v>
      </c>
      <c r="BQ77" s="1">
        <f t="shared" si="20"/>
        <v>538</v>
      </c>
      <c r="BR77" s="1">
        <f>-BP79</f>
        <v>0.95959595959595889</v>
      </c>
      <c r="BS77" s="1">
        <f>BQ79</f>
        <v>670</v>
      </c>
      <c r="BV77" s="1">
        <f t="shared" si="21"/>
        <v>538</v>
      </c>
      <c r="BW77" s="63">
        <f t="shared" si="22"/>
        <v>2.4742268041237132</v>
      </c>
      <c r="BX77" s="63">
        <f t="shared" si="23"/>
        <v>0.61224489795918347</v>
      </c>
      <c r="BY77" s="1">
        <f>-BV79</f>
        <v>-670</v>
      </c>
      <c r="BZ77" s="63">
        <f>BW79</f>
        <v>1.2525252525252508</v>
      </c>
      <c r="CA77" s="63">
        <f>BX79</f>
        <v>-0.66666666666666696</v>
      </c>
      <c r="CF77" s="113">
        <v>-4.0599999999999996</v>
      </c>
      <c r="CG77" s="46">
        <v>3.96</v>
      </c>
      <c r="CH77" s="46">
        <v>3.96</v>
      </c>
    </row>
    <row r="78" spans="1:86" ht="18" customHeight="1" x14ac:dyDescent="0.2">
      <c r="A78" s="78">
        <v>6</v>
      </c>
      <c r="B78" s="24">
        <v>340</v>
      </c>
      <c r="C78" s="25">
        <v>116.928</v>
      </c>
      <c r="D78" s="26">
        <v>257.95690000000002</v>
      </c>
      <c r="E78" s="27">
        <v>117.749</v>
      </c>
      <c r="F78" s="28">
        <v>30.953000000000003</v>
      </c>
      <c r="G78" s="29">
        <v>5.86</v>
      </c>
      <c r="H78" s="30">
        <v>5.89</v>
      </c>
      <c r="I78" s="29">
        <v>-2.2400000000000002</v>
      </c>
      <c r="J78" s="30">
        <v>-6.14</v>
      </c>
      <c r="K78" s="30">
        <v>10.775</v>
      </c>
      <c r="L78" s="30">
        <v>5.5731182795698926</v>
      </c>
      <c r="M78" s="30">
        <v>-12.779999904632568</v>
      </c>
      <c r="N78" s="185"/>
      <c r="O78" s="9"/>
      <c r="P78" s="10"/>
      <c r="Q78" s="10"/>
      <c r="R78" s="5"/>
      <c r="S78" s="6"/>
      <c r="T78" s="6"/>
      <c r="U78" s="178"/>
      <c r="V78" s="9"/>
      <c r="W78" s="10"/>
      <c r="X78" s="10"/>
      <c r="AA78" s="127"/>
      <c r="AB78" s="127"/>
      <c r="AC78" s="127"/>
      <c r="AD78" s="127"/>
      <c r="AE78" s="127"/>
      <c r="AF78" s="127"/>
      <c r="AG78" s="127"/>
      <c r="AH78" s="127"/>
      <c r="AI78" s="126"/>
      <c r="AJ78" s="124"/>
      <c r="AK78" s="152"/>
      <c r="AU78" s="127"/>
      <c r="AV78" s="127"/>
      <c r="AW78" s="127"/>
      <c r="AX78" s="127"/>
      <c r="AY78" s="127"/>
      <c r="AZ78" s="127"/>
      <c r="BA78" s="127"/>
      <c r="BB78" s="127"/>
      <c r="BC78" s="127"/>
      <c r="BD78" s="127"/>
      <c r="BE78" s="126"/>
      <c r="BF78" s="124"/>
      <c r="BG78" s="197"/>
      <c r="BK78" s="63">
        <f t="shared" si="17"/>
        <v>-0.94846423417851922</v>
      </c>
      <c r="BL78" s="1">
        <f t="shared" si="18"/>
        <v>604</v>
      </c>
      <c r="BM78" s="1">
        <f>-BK78</f>
        <v>0.94846423417851922</v>
      </c>
      <c r="BN78" s="1">
        <f>BL78</f>
        <v>604</v>
      </c>
      <c r="BP78" s="63">
        <f t="shared" si="19"/>
        <v>-0.94846423417851922</v>
      </c>
      <c r="BQ78" s="1">
        <f t="shared" si="20"/>
        <v>604</v>
      </c>
      <c r="BR78" s="1">
        <f>-BP78</f>
        <v>0.94846423417851922</v>
      </c>
      <c r="BS78" s="1">
        <f>BQ78</f>
        <v>604</v>
      </c>
      <c r="BV78" s="1">
        <f t="shared" si="21"/>
        <v>604</v>
      </c>
      <c r="BW78" s="63">
        <f t="shared" si="22"/>
        <v>1.7959183673469372</v>
      </c>
      <c r="BX78" s="63">
        <f t="shared" si="23"/>
        <v>-0.10101010101010122</v>
      </c>
      <c r="BY78" s="1">
        <f>-BV78</f>
        <v>-604</v>
      </c>
      <c r="BZ78" s="63">
        <f>BW78</f>
        <v>1.7959183673469372</v>
      </c>
      <c r="CA78" s="63">
        <f>BX78</f>
        <v>-0.10101010101010122</v>
      </c>
      <c r="CF78" s="110">
        <v>-6.1400000000000006</v>
      </c>
      <c r="CG78" s="30">
        <v>1.6599999999999997</v>
      </c>
      <c r="CH78" s="30">
        <v>1.6599999999999997</v>
      </c>
    </row>
    <row r="79" spans="1:86" ht="18" customHeight="1" x14ac:dyDescent="0.2">
      <c r="A79" s="80"/>
      <c r="B79" s="32">
        <v>406</v>
      </c>
      <c r="C79" s="33">
        <v>182.928</v>
      </c>
      <c r="D79" s="34">
        <v>323.95689999999996</v>
      </c>
      <c r="E79" s="35">
        <v>107.726</v>
      </c>
      <c r="F79" s="36">
        <v>35.036000000000001</v>
      </c>
      <c r="G79" s="37">
        <v>5.35</v>
      </c>
      <c r="H79" s="38">
        <v>5.39</v>
      </c>
      <c r="I79" s="37">
        <v>-1.41</v>
      </c>
      <c r="J79" s="38">
        <v>-5.34</v>
      </c>
      <c r="K79" s="38">
        <v>9.8559999999999999</v>
      </c>
      <c r="L79" s="38">
        <v>5.4430107526881724</v>
      </c>
      <c r="M79" s="38">
        <v>-12.069999904632567</v>
      </c>
      <c r="N79" s="185"/>
      <c r="O79" s="9"/>
      <c r="P79" s="10"/>
      <c r="Q79" s="10"/>
      <c r="R79" s="5"/>
      <c r="S79" s="6"/>
      <c r="T79" s="6"/>
      <c r="U79" s="178"/>
      <c r="V79" s="9"/>
      <c r="W79" s="10"/>
      <c r="X79" s="10"/>
      <c r="AA79" s="127"/>
      <c r="AB79" s="127"/>
      <c r="AC79" s="127"/>
      <c r="AD79" s="127"/>
      <c r="AE79" s="127"/>
      <c r="AF79" s="127"/>
      <c r="AG79" s="127"/>
      <c r="AH79" s="127"/>
      <c r="AI79" s="126"/>
      <c r="AJ79" s="124"/>
      <c r="AK79" s="152"/>
      <c r="AU79" s="127"/>
      <c r="AV79" s="127"/>
      <c r="AW79" s="127"/>
      <c r="AX79" s="127"/>
      <c r="AY79" s="127"/>
      <c r="AZ79" s="127"/>
      <c r="BA79" s="127"/>
      <c r="BB79" s="127"/>
      <c r="BC79" s="127"/>
      <c r="BD79" s="127"/>
      <c r="BE79" s="126"/>
      <c r="BF79" s="124"/>
      <c r="BG79" s="197"/>
      <c r="BK79" s="63">
        <f t="shared" si="17"/>
        <v>-0.95959595959595889</v>
      </c>
      <c r="BL79" s="1">
        <f t="shared" si="18"/>
        <v>670</v>
      </c>
      <c r="BM79" s="1">
        <f>-BK77</f>
        <v>0.93099095308226487</v>
      </c>
      <c r="BN79" s="1">
        <f>BL77</f>
        <v>538</v>
      </c>
      <c r="BP79" s="63">
        <f t="shared" si="19"/>
        <v>-0.95959595959595889</v>
      </c>
      <c r="BQ79" s="1">
        <f t="shared" si="20"/>
        <v>670</v>
      </c>
      <c r="BR79" s="1">
        <f>-BP77</f>
        <v>0.93099095308226487</v>
      </c>
      <c r="BS79" s="1">
        <f>BQ77</f>
        <v>538</v>
      </c>
      <c r="BV79" s="1">
        <f t="shared" si="21"/>
        <v>670</v>
      </c>
      <c r="BW79" s="63">
        <f t="shared" si="22"/>
        <v>1.2525252525252508</v>
      </c>
      <c r="BX79" s="63">
        <f t="shared" si="23"/>
        <v>-0.66666666666666696</v>
      </c>
      <c r="BY79" s="1">
        <f>-BV77</f>
        <v>-538</v>
      </c>
      <c r="BZ79" s="63">
        <f>BW77</f>
        <v>2.4742268041237132</v>
      </c>
      <c r="CA79" s="63">
        <f>BX77</f>
        <v>0.61224489795918347</v>
      </c>
      <c r="CF79" s="111">
        <v>-5.34</v>
      </c>
      <c r="CG79" s="38">
        <v>2.5200000000000005</v>
      </c>
      <c r="CH79" s="38">
        <v>2.5200000000000005</v>
      </c>
    </row>
    <row r="80" spans="1:86" ht="18" customHeight="1" x14ac:dyDescent="0.2">
      <c r="A80" s="80"/>
      <c r="B80" s="32">
        <v>472</v>
      </c>
      <c r="C80" s="33">
        <v>248.928</v>
      </c>
      <c r="D80" s="34">
        <v>389.95690000000002</v>
      </c>
      <c r="E80" s="35">
        <v>100.907</v>
      </c>
      <c r="F80" s="36">
        <v>39.122999999999998</v>
      </c>
      <c r="G80" s="37">
        <v>5.01</v>
      </c>
      <c r="H80" s="38">
        <v>5.05</v>
      </c>
      <c r="I80" s="37">
        <v>-0.8</v>
      </c>
      <c r="J80" s="38">
        <v>-4.75</v>
      </c>
      <c r="K80" s="38">
        <v>9.516</v>
      </c>
      <c r="L80" s="38">
        <v>5.3193548387096774</v>
      </c>
      <c r="M80" s="38">
        <v>-11.569999904632567</v>
      </c>
      <c r="N80" s="185"/>
      <c r="O80" s="9"/>
      <c r="P80" s="10"/>
      <c r="Q80" s="10"/>
      <c r="R80" s="5"/>
      <c r="S80" s="6"/>
      <c r="T80" s="6"/>
      <c r="U80" s="178"/>
      <c r="V80" s="9"/>
      <c r="W80" s="10"/>
      <c r="X80" s="10"/>
      <c r="AA80" s="126"/>
      <c r="AB80" s="126"/>
      <c r="AC80" s="126"/>
      <c r="AD80" s="126"/>
      <c r="AE80" s="126"/>
      <c r="AF80" s="126"/>
      <c r="AG80" s="126"/>
      <c r="AH80" s="126"/>
      <c r="AI80" s="126"/>
      <c r="AJ80" s="124"/>
      <c r="AK80" s="152"/>
      <c r="AU80" s="126"/>
      <c r="AV80" s="126"/>
      <c r="AW80" s="126"/>
      <c r="AX80" s="126"/>
      <c r="AY80" s="126"/>
      <c r="AZ80" s="126"/>
      <c r="BA80" s="126"/>
      <c r="BB80" s="126"/>
      <c r="BC80" s="126"/>
      <c r="BD80" s="126"/>
      <c r="BE80" s="126"/>
      <c r="BF80" s="124"/>
      <c r="BG80" s="197"/>
      <c r="BK80" s="63">
        <f t="shared" si="17"/>
        <v>-1.1287128712871288</v>
      </c>
      <c r="BL80" s="1">
        <f t="shared" si="18"/>
        <v>736</v>
      </c>
      <c r="BM80" s="1">
        <f>-BK76</f>
        <v>0.92708333333333381</v>
      </c>
      <c r="BN80" s="1">
        <f>BL76</f>
        <v>472</v>
      </c>
      <c r="BP80" s="63">
        <f t="shared" si="19"/>
        <v>-0.97435643564356456</v>
      </c>
      <c r="BQ80" s="1">
        <f t="shared" si="20"/>
        <v>736</v>
      </c>
      <c r="BR80" s="1">
        <f>-BP76</f>
        <v>0.92708333333333381</v>
      </c>
      <c r="BS80" s="1">
        <f>BQ76</f>
        <v>472</v>
      </c>
      <c r="BV80" s="1">
        <f t="shared" si="21"/>
        <v>736</v>
      </c>
      <c r="BW80" s="63">
        <f t="shared" si="22"/>
        <v>0.82000000000000028</v>
      </c>
      <c r="BX80" s="63">
        <f t="shared" si="23"/>
        <v>-1.1287128712871288</v>
      </c>
      <c r="BY80" s="1">
        <f>-BV76</f>
        <v>-472</v>
      </c>
      <c r="BZ80" s="63">
        <f>BW76</f>
        <v>3.3958333333333339</v>
      </c>
      <c r="CA80" s="63">
        <f>BX76</f>
        <v>1.5416666666666663</v>
      </c>
      <c r="CF80" s="111">
        <v>-4.75</v>
      </c>
      <c r="CG80" s="38">
        <v>3.1500000000000004</v>
      </c>
      <c r="CH80" s="38">
        <v>3.1500000000000004</v>
      </c>
    </row>
    <row r="81" spans="1:86" ht="18" customHeight="1" x14ac:dyDescent="0.2">
      <c r="A81" s="80"/>
      <c r="B81" s="32">
        <v>538</v>
      </c>
      <c r="C81" s="33">
        <v>314.928</v>
      </c>
      <c r="D81" s="34">
        <v>455.95690000000002</v>
      </c>
      <c r="E81" s="35">
        <v>95.960599999999985</v>
      </c>
      <c r="F81" s="36">
        <v>43.218000000000004</v>
      </c>
      <c r="G81" s="37">
        <v>4.76</v>
      </c>
      <c r="H81" s="38">
        <v>4.8</v>
      </c>
      <c r="I81" s="37">
        <v>-0.33</v>
      </c>
      <c r="J81" s="38">
        <v>-4.3</v>
      </c>
      <c r="K81" s="38">
        <v>10.164</v>
      </c>
      <c r="L81" s="38">
        <v>5.2021505376344086</v>
      </c>
      <c r="M81" s="38">
        <v>-11.179999904632568</v>
      </c>
      <c r="N81" s="185"/>
      <c r="O81" s="9"/>
      <c r="P81" s="10"/>
      <c r="Q81" s="10"/>
      <c r="R81" s="5"/>
      <c r="S81" s="6"/>
      <c r="T81" s="6"/>
      <c r="U81" s="178"/>
      <c r="V81" s="9"/>
      <c r="W81" s="10"/>
      <c r="X81" s="10"/>
      <c r="AA81" s="126"/>
      <c r="AB81" s="126"/>
      <c r="AC81" s="126"/>
      <c r="AD81" s="126"/>
      <c r="AE81" s="126"/>
      <c r="AF81" s="126"/>
      <c r="AG81" s="126"/>
      <c r="AH81" s="126"/>
      <c r="AI81" s="126"/>
      <c r="AJ81" s="124"/>
      <c r="AK81" s="152"/>
      <c r="AU81" s="126"/>
      <c r="AV81" s="126"/>
      <c r="AW81" s="126"/>
      <c r="AX81" s="126"/>
      <c r="AY81" s="126"/>
      <c r="AZ81" s="126"/>
      <c r="BA81" s="126"/>
      <c r="BB81" s="126"/>
      <c r="BC81" s="126"/>
      <c r="BD81" s="126"/>
      <c r="BE81" s="126"/>
      <c r="BF81" s="124"/>
      <c r="BG81" s="197"/>
      <c r="BK81" s="63">
        <f t="shared" si="17"/>
        <v>-1.5247524752475243</v>
      </c>
      <c r="BL81" s="1">
        <f t="shared" si="18"/>
        <v>802</v>
      </c>
      <c r="BM81" s="1">
        <f>-BK75</f>
        <v>0.91164613661814187</v>
      </c>
      <c r="BN81" s="1">
        <f>BL75</f>
        <v>406</v>
      </c>
      <c r="BP81" s="63">
        <f t="shared" si="19"/>
        <v>-0.99999999999999822</v>
      </c>
      <c r="BQ81" s="1">
        <f t="shared" si="20"/>
        <v>802</v>
      </c>
      <c r="BR81" s="1">
        <f>-BP75</f>
        <v>0.91164613661814187</v>
      </c>
      <c r="BS81" s="1">
        <f>BQ75</f>
        <v>406</v>
      </c>
      <c r="BV81" s="1">
        <f t="shared" si="21"/>
        <v>802</v>
      </c>
      <c r="BW81" s="63">
        <f t="shared" si="22"/>
        <v>0.47524752475247212</v>
      </c>
      <c r="BX81" s="63">
        <f t="shared" si="23"/>
        <v>-1.5247524752475243</v>
      </c>
      <c r="BY81" s="1">
        <f>-BV75</f>
        <v>-406</v>
      </c>
      <c r="BZ81" s="63">
        <f>BW75</f>
        <v>4.6105263157894747</v>
      </c>
      <c r="CA81" s="63">
        <f>BX75</f>
        <v>2.787234042553191</v>
      </c>
      <c r="CF81" s="111">
        <v>-4.29</v>
      </c>
      <c r="CG81" s="38">
        <v>3.63</v>
      </c>
      <c r="CH81" s="38">
        <v>3.63</v>
      </c>
    </row>
    <row r="82" spans="1:86" ht="18" customHeight="1" x14ac:dyDescent="0.2">
      <c r="A82" s="80"/>
      <c r="B82" s="32">
        <v>604</v>
      </c>
      <c r="C82" s="33">
        <v>380.928</v>
      </c>
      <c r="D82" s="34">
        <v>521.95690000000002</v>
      </c>
      <c r="E82" s="35">
        <v>92.200500000000005</v>
      </c>
      <c r="F82" s="36">
        <v>47.320999999999998</v>
      </c>
      <c r="G82" s="37">
        <v>4.5599999999999996</v>
      </c>
      <c r="H82" s="38">
        <v>4.6100000000000003</v>
      </c>
      <c r="I82" s="37">
        <v>0.03</v>
      </c>
      <c r="J82" s="38">
        <v>4.01</v>
      </c>
      <c r="K82" s="38">
        <v>10.807</v>
      </c>
      <c r="L82" s="38">
        <v>5.0924731182795693</v>
      </c>
      <c r="M82" s="38">
        <v>-10.859999904632568</v>
      </c>
      <c r="N82" s="185"/>
      <c r="O82" s="9"/>
      <c r="P82" s="10"/>
      <c r="Q82" s="10"/>
      <c r="R82" s="5"/>
      <c r="S82" s="6"/>
      <c r="T82" s="6"/>
      <c r="U82" s="178"/>
      <c r="V82" s="9"/>
      <c r="W82" s="10"/>
      <c r="X82" s="10"/>
      <c r="AA82" s="126"/>
      <c r="AB82" s="126"/>
      <c r="AC82" s="126"/>
      <c r="AD82" s="126"/>
      <c r="AE82" s="126"/>
      <c r="AF82" s="126"/>
      <c r="AG82" s="126"/>
      <c r="AH82" s="126"/>
      <c r="AI82" s="126"/>
      <c r="AJ82" s="124"/>
      <c r="AK82" s="152"/>
      <c r="AU82" s="126"/>
      <c r="AV82" s="126"/>
      <c r="AW82" s="126"/>
      <c r="AX82" s="126"/>
      <c r="AY82" s="126"/>
      <c r="AZ82" s="126"/>
      <c r="BA82" s="126"/>
      <c r="BB82" s="126"/>
      <c r="BC82" s="126"/>
      <c r="BD82" s="126"/>
      <c r="BE82" s="126"/>
      <c r="BF82" s="124"/>
      <c r="BG82" s="197"/>
      <c r="BK82" s="63">
        <f t="shared" si="17"/>
        <v>-1.8431372549019609</v>
      </c>
      <c r="BL82" s="1">
        <f t="shared" si="18"/>
        <v>868</v>
      </c>
      <c r="BM82" s="1">
        <f>-BK74</f>
        <v>3382.794871794898</v>
      </c>
      <c r="BN82" s="1">
        <f>BL74</f>
        <v>340</v>
      </c>
      <c r="BP82" s="63">
        <f t="shared" si="19"/>
        <v>-1.0196078431372546</v>
      </c>
      <c r="BQ82" s="1">
        <f t="shared" si="20"/>
        <v>868</v>
      </c>
      <c r="BR82" s="1">
        <f>-BP74</f>
        <v>1694.5479735318577</v>
      </c>
      <c r="BS82" s="1">
        <f>BQ74</f>
        <v>340</v>
      </c>
      <c r="BV82" s="1">
        <f t="shared" si="21"/>
        <v>868</v>
      </c>
      <c r="BW82" s="63">
        <f t="shared" si="22"/>
        <v>0.19607843137254832</v>
      </c>
      <c r="BX82" s="63">
        <f t="shared" si="23"/>
        <v>-1.8431372549019609</v>
      </c>
      <c r="BY82" s="1">
        <f>-BV74</f>
        <v>-340</v>
      </c>
      <c r="BZ82" s="63">
        <f>BW74</f>
        <v>6.3010752688172058</v>
      </c>
      <c r="CA82" s="63">
        <f>BX74</f>
        <v>-3382.794871794898</v>
      </c>
      <c r="CF82" s="111">
        <v>-3.9400000000000004</v>
      </c>
      <c r="CG82" s="38">
        <v>4</v>
      </c>
      <c r="CH82" s="38">
        <v>4</v>
      </c>
    </row>
    <row r="83" spans="1:86" ht="18" customHeight="1" x14ac:dyDescent="0.2">
      <c r="A83" s="80"/>
      <c r="B83" s="32">
        <v>670</v>
      </c>
      <c r="C83" s="33">
        <v>446.928</v>
      </c>
      <c r="D83" s="34">
        <v>587.95690000000002</v>
      </c>
      <c r="E83" s="35">
        <v>89.238799999999998</v>
      </c>
      <c r="F83" s="36">
        <v>51.431000000000004</v>
      </c>
      <c r="G83" s="37">
        <v>4.41</v>
      </c>
      <c r="H83" s="38">
        <v>4.46</v>
      </c>
      <c r="I83" s="37">
        <v>0.33</v>
      </c>
      <c r="J83" s="38">
        <v>4.32</v>
      </c>
      <c r="K83" s="38">
        <v>11.457000000000001</v>
      </c>
      <c r="L83" s="38">
        <v>4.9870967741935486</v>
      </c>
      <c r="M83" s="38">
        <v>-10.569999904632569</v>
      </c>
      <c r="N83" s="185"/>
      <c r="O83" s="9"/>
      <c r="P83" s="10"/>
      <c r="Q83" s="10"/>
      <c r="R83" s="5"/>
      <c r="S83" s="6"/>
      <c r="T83" s="6"/>
      <c r="U83" s="178"/>
      <c r="V83" s="9"/>
      <c r="W83" s="10"/>
      <c r="X83" s="10"/>
      <c r="AA83" s="127"/>
      <c r="AB83" s="127"/>
      <c r="AC83" s="127"/>
      <c r="AD83" s="127"/>
      <c r="AE83" s="127"/>
      <c r="AF83" s="127"/>
      <c r="AG83" s="127"/>
      <c r="AH83" s="127"/>
      <c r="AI83" s="127"/>
      <c r="AJ83" s="124"/>
      <c r="AK83" s="152"/>
      <c r="AU83" s="127"/>
      <c r="AV83" s="127"/>
      <c r="AW83" s="127"/>
      <c r="AX83" s="127"/>
      <c r="AY83" s="127"/>
      <c r="AZ83" s="127"/>
      <c r="BA83" s="127"/>
      <c r="BB83" s="127"/>
      <c r="BC83" s="127"/>
      <c r="BD83" s="127"/>
      <c r="BE83" s="127"/>
      <c r="BF83" s="124"/>
      <c r="BG83" s="197"/>
      <c r="BJ83" s="1">
        <f>BJ69</f>
        <v>1</v>
      </c>
      <c r="BK83" s="63">
        <f>BK82+(BK82-BK81)*BJ83</f>
        <v>-2.1615220345563975</v>
      </c>
      <c r="BL83" s="63">
        <f>BL82+(BL82-BL81)*BJ83</f>
        <v>934</v>
      </c>
      <c r="BM83" s="63">
        <f>BM82+(BM82-BM81)*BJ73</f>
        <v>6764.6780974531775</v>
      </c>
      <c r="BN83" s="63">
        <f>BN82+(BN82-BN81)*BJ73</f>
        <v>274</v>
      </c>
      <c r="BO83" s="1">
        <f>BO69</f>
        <v>1</v>
      </c>
      <c r="BP83" s="63">
        <f>BP82+(BP82-BP81)*BO83</f>
        <v>-1.039215686274511</v>
      </c>
      <c r="BQ83" s="63">
        <f>BQ82+(BQ82-BQ81)*BO83</f>
        <v>934</v>
      </c>
      <c r="BR83" s="63">
        <f>BR82+(BR82-BR81)*BO73</f>
        <v>18630.911247484255</v>
      </c>
      <c r="BS83" s="63">
        <f>BS82+(BS82-BS81)*BO73</f>
        <v>-320</v>
      </c>
      <c r="CF83" s="111">
        <v>-3.65</v>
      </c>
      <c r="CG83" s="38">
        <v>4.3099999999999996</v>
      </c>
      <c r="CH83" s="38">
        <v>4.3099999999999996</v>
      </c>
    </row>
    <row r="84" spans="1:86" ht="18" customHeight="1" x14ac:dyDescent="0.2">
      <c r="A84" s="80"/>
      <c r="B84" s="32">
        <v>736</v>
      </c>
      <c r="C84" s="33">
        <v>512.928</v>
      </c>
      <c r="D84" s="34">
        <v>653.95689999999991</v>
      </c>
      <c r="E84" s="35">
        <v>86.84</v>
      </c>
      <c r="F84" s="36">
        <v>55.549000000000007</v>
      </c>
      <c r="G84" s="37">
        <v>4.28</v>
      </c>
      <c r="H84" s="38">
        <v>4.34</v>
      </c>
      <c r="I84" s="37">
        <v>0.57999999999999996</v>
      </c>
      <c r="J84" s="38">
        <v>4.57</v>
      </c>
      <c r="K84" s="38">
        <v>12.118</v>
      </c>
      <c r="L84" s="38">
        <v>4.8881720430107523</v>
      </c>
      <c r="M84" s="38">
        <v>-10.309999904632569</v>
      </c>
      <c r="N84" s="185"/>
      <c r="O84" s="9"/>
      <c r="P84" s="10"/>
      <c r="Q84" s="10"/>
      <c r="R84" s="5"/>
      <c r="S84" s="6"/>
      <c r="T84" s="6"/>
      <c r="U84" s="178"/>
      <c r="V84" s="9"/>
      <c r="W84" s="10"/>
      <c r="X84" s="10"/>
      <c r="AA84" s="127"/>
      <c r="AB84" s="127"/>
      <c r="AC84" s="127"/>
      <c r="AD84" s="127"/>
      <c r="AE84" s="127"/>
      <c r="AF84" s="127"/>
      <c r="AG84" s="127"/>
      <c r="AH84" s="127"/>
      <c r="AI84" s="127"/>
      <c r="AJ84" s="124"/>
      <c r="AK84" s="152"/>
      <c r="AU84" s="127"/>
      <c r="AV84" s="127"/>
      <c r="AW84" s="127"/>
      <c r="AX84" s="127"/>
      <c r="AY84" s="127"/>
      <c r="AZ84" s="127"/>
      <c r="BA84" s="127"/>
      <c r="BB84" s="127"/>
      <c r="BC84" s="127"/>
      <c r="BD84" s="127"/>
      <c r="BE84" s="127"/>
      <c r="BF84" s="124"/>
      <c r="BG84" s="197"/>
      <c r="CF84" s="111">
        <v>-3.41</v>
      </c>
      <c r="CG84" s="38">
        <v>4.57</v>
      </c>
      <c r="CH84" s="38">
        <v>4.57</v>
      </c>
    </row>
    <row r="85" spans="1:86" ht="18" customHeight="1" x14ac:dyDescent="0.2">
      <c r="A85" s="84"/>
      <c r="B85" s="32">
        <v>802</v>
      </c>
      <c r="C85" s="33">
        <v>578.928</v>
      </c>
      <c r="D85" s="34">
        <v>719.95690000000002</v>
      </c>
      <c r="E85" s="49">
        <v>84.852000000000004</v>
      </c>
      <c r="F85" s="50">
        <v>59.674000000000007</v>
      </c>
      <c r="G85" s="51">
        <v>4.18</v>
      </c>
      <c r="H85" s="52">
        <v>4.24</v>
      </c>
      <c r="I85" s="51">
        <v>0.79</v>
      </c>
      <c r="J85" s="52">
        <v>4.79</v>
      </c>
      <c r="K85" s="38">
        <v>12.794</v>
      </c>
      <c r="L85" s="38">
        <v>4.7946236559139779</v>
      </c>
      <c r="M85" s="38">
        <v>-10.059999904632569</v>
      </c>
      <c r="N85" s="185"/>
      <c r="O85" s="9"/>
      <c r="P85" s="10"/>
      <c r="Q85" s="10"/>
      <c r="R85" s="5"/>
      <c r="S85" s="6"/>
      <c r="T85" s="6"/>
      <c r="U85" s="178"/>
      <c r="V85" s="9"/>
      <c r="W85" s="10"/>
      <c r="X85" s="10"/>
      <c r="AA85" s="127"/>
      <c r="AB85" s="127"/>
      <c r="AC85" s="127"/>
      <c r="AD85" s="127"/>
      <c r="AE85" s="127"/>
      <c r="AF85" s="127"/>
      <c r="AG85" s="127"/>
      <c r="AH85" s="127"/>
      <c r="AI85" s="127"/>
      <c r="AJ85" s="124"/>
      <c r="AK85" s="152"/>
      <c r="AU85" s="127"/>
      <c r="AV85" s="127"/>
      <c r="AW85" s="127"/>
      <c r="AX85" s="127"/>
      <c r="AY85" s="127"/>
      <c r="AZ85" s="127"/>
      <c r="BA85" s="127"/>
      <c r="BB85" s="127"/>
      <c r="BC85" s="127"/>
      <c r="BD85" s="127"/>
      <c r="BE85" s="127"/>
      <c r="BF85" s="124"/>
      <c r="BG85" s="197"/>
      <c r="BJ85" s="1" t="s">
        <v>86</v>
      </c>
      <c r="BK85" s="1" t="e">
        <f>VLOOKUP($BL57,BK86:BL96,1)</f>
        <v>#N/A</v>
      </c>
      <c r="BL85" s="1" t="e">
        <f>VLOOKUP($BL57,BK86:BL96,2)</f>
        <v>#N/A</v>
      </c>
      <c r="BM85" s="1" t="e">
        <f>-VLOOKUP(-$BL57,BM86:BN96,1)</f>
        <v>#N/A</v>
      </c>
      <c r="BN85" s="1" t="e">
        <f>VLOOKUP(-$BL57,BM86:BN96,2)</f>
        <v>#N/A</v>
      </c>
      <c r="BP85" s="1" t="e">
        <f>VLOOKUP(BQ57,BP86:BQ96,1)</f>
        <v>#N/A</v>
      </c>
      <c r="BQ85" s="1" t="e">
        <f>VLOOKUP($BQ57,BP86:BQ96,2)</f>
        <v>#N/A</v>
      </c>
      <c r="BR85" s="1" t="e">
        <f>-VLOOKUP(-$BQ57,BR86:BS96,1)</f>
        <v>#N/A</v>
      </c>
      <c r="BS85" s="1" t="e">
        <f>VLOOKUP(-$BQ57,BR86:BS96,2)</f>
        <v>#N/A</v>
      </c>
      <c r="CF85" s="111">
        <v>-3.21</v>
      </c>
      <c r="CG85" s="38">
        <v>4.79</v>
      </c>
      <c r="CH85" s="38">
        <v>4.79</v>
      </c>
    </row>
    <row r="86" spans="1:86" ht="18" customHeight="1" thickBot="1" x14ac:dyDescent="0.25">
      <c r="A86" s="85"/>
      <c r="B86" s="39">
        <v>868</v>
      </c>
      <c r="C86" s="53">
        <v>644.928</v>
      </c>
      <c r="D86" s="54">
        <v>785.95689999999991</v>
      </c>
      <c r="E86" s="55">
        <v>83.171899999999994</v>
      </c>
      <c r="F86" s="56">
        <v>63.80599999999999</v>
      </c>
      <c r="G86" s="57">
        <v>4.09</v>
      </c>
      <c r="H86" s="58">
        <v>4.16</v>
      </c>
      <c r="I86" s="57">
        <v>0.97</v>
      </c>
      <c r="J86" s="58">
        <v>4.9800000000000004</v>
      </c>
      <c r="K86" s="45">
        <v>13.483000000000001</v>
      </c>
      <c r="L86" s="45">
        <v>4.7064516129032254</v>
      </c>
      <c r="M86" s="45">
        <v>-9.819999904632569</v>
      </c>
      <c r="N86" s="185"/>
      <c r="O86" s="9"/>
      <c r="P86" s="10"/>
      <c r="Q86" s="10"/>
      <c r="R86" s="5"/>
      <c r="S86" s="6"/>
      <c r="T86" s="6"/>
      <c r="U86" s="178"/>
      <c r="V86" s="9"/>
      <c r="W86" s="10"/>
      <c r="X86" s="10"/>
      <c r="AA86" s="127"/>
      <c r="AB86" s="127"/>
      <c r="AC86" s="127"/>
      <c r="AD86" s="127"/>
      <c r="AE86" s="127"/>
      <c r="AF86" s="127"/>
      <c r="AG86" s="127"/>
      <c r="AH86" s="127"/>
      <c r="AI86" s="127"/>
      <c r="AJ86" s="124"/>
      <c r="AK86" s="152"/>
      <c r="AU86" s="127"/>
      <c r="AV86" s="127"/>
      <c r="AW86" s="127"/>
      <c r="AX86" s="127"/>
      <c r="AY86" s="127"/>
      <c r="AZ86" s="127"/>
      <c r="BA86" s="127"/>
      <c r="BB86" s="127"/>
      <c r="BC86" s="127"/>
      <c r="BD86" s="127"/>
      <c r="BE86" s="127"/>
      <c r="BF86" s="124"/>
      <c r="BG86" s="197"/>
      <c r="BJ86" s="1">
        <f>BJ59</f>
        <v>1</v>
      </c>
      <c r="BK86" s="63">
        <f>BK87-(BK88-BK87)*BJ86</f>
        <v>274</v>
      </c>
      <c r="BL86" s="63">
        <f>BL87-(BL88-BL87)*BJ86</f>
        <v>-6764.6780974531775</v>
      </c>
      <c r="BM86" s="63">
        <f>BM87-(BM88-BM87)*BJ96</f>
        <v>-934</v>
      </c>
      <c r="BN86" s="63">
        <f>BN87-(BN88-BN87)*BJ96</f>
        <v>-2.1615220345563975</v>
      </c>
      <c r="BO86" s="1">
        <f>BO59</f>
        <v>10</v>
      </c>
      <c r="BP86" s="63">
        <f>BP87-(BP88-BP87)*BO86</f>
        <v>-320</v>
      </c>
      <c r="BQ86" s="63">
        <f>BQ87-(BQ88-BQ87)*BO86</f>
        <v>-18630.911247484255</v>
      </c>
      <c r="BR86" s="63">
        <f>BR87-(BR88-BR87)*BO96</f>
        <v>-934</v>
      </c>
      <c r="BS86" s="63">
        <f>BS87-(BS88-BS87)*BO96</f>
        <v>-1.039215686274511</v>
      </c>
      <c r="CF86" s="112">
        <v>-3.04</v>
      </c>
      <c r="CG86" s="45">
        <v>4.9799999999999995</v>
      </c>
      <c r="CH86" s="45">
        <v>4.9799999999999995</v>
      </c>
    </row>
    <row r="87" spans="1:86" ht="18" customHeight="1" x14ac:dyDescent="0.2">
      <c r="A87" s="78">
        <v>8</v>
      </c>
      <c r="B87" s="24">
        <v>340</v>
      </c>
      <c r="C87" s="25">
        <v>116.928</v>
      </c>
      <c r="D87" s="26">
        <v>257.95690000000002</v>
      </c>
      <c r="E87" s="27">
        <v>141.495</v>
      </c>
      <c r="F87" s="28">
        <v>37.149000000000001</v>
      </c>
      <c r="G87" s="29">
        <v>7.05</v>
      </c>
      <c r="H87" s="30">
        <v>7.07</v>
      </c>
      <c r="I87" s="29">
        <v>-1.31</v>
      </c>
      <c r="J87" s="30">
        <v>-5.21</v>
      </c>
      <c r="K87" s="30">
        <v>9.2530000000000001</v>
      </c>
      <c r="L87" s="30">
        <v>5.5731182795698926</v>
      </c>
      <c r="M87" s="30">
        <v>-16.369999904632568</v>
      </c>
      <c r="N87" s="185"/>
      <c r="O87" s="9"/>
      <c r="P87" s="10"/>
      <c r="Q87" s="10"/>
      <c r="R87" s="5"/>
      <c r="S87" s="6"/>
      <c r="T87" s="6"/>
      <c r="U87" s="178"/>
      <c r="V87" s="9"/>
      <c r="W87" s="10"/>
      <c r="X87" s="10"/>
      <c r="AA87" s="127"/>
      <c r="AB87" s="127"/>
      <c r="AC87" s="127"/>
      <c r="AD87" s="127"/>
      <c r="AE87" s="127"/>
      <c r="AF87" s="127"/>
      <c r="AG87" s="127"/>
      <c r="AH87" s="127"/>
      <c r="AI87" s="127"/>
      <c r="AJ87" s="124"/>
      <c r="AK87" s="152"/>
      <c r="AU87" s="127"/>
      <c r="AV87" s="127"/>
      <c r="AW87" s="127"/>
      <c r="AX87" s="127"/>
      <c r="AY87" s="127"/>
      <c r="AZ87" s="127"/>
      <c r="BA87" s="127"/>
      <c r="BB87" s="127"/>
      <c r="BC87" s="127"/>
      <c r="BD87" s="127"/>
      <c r="BE87" s="127"/>
      <c r="BF87" s="124"/>
      <c r="BG87" s="197"/>
      <c r="BK87" s="1">
        <f t="shared" ref="BK87:BK95" si="24">AA60</f>
        <v>340</v>
      </c>
      <c r="BL87" s="63">
        <f t="shared" ref="BL87:BL95" si="25">MIN(AI60/2-AE60/2,AI60)</f>
        <v>-3382.794871794898</v>
      </c>
      <c r="BM87" s="1">
        <f>-BK95</f>
        <v>-868</v>
      </c>
      <c r="BN87" s="1">
        <f>BL95</f>
        <v>-1.8431372549019609</v>
      </c>
      <c r="BP87" s="1">
        <f t="shared" ref="BP87:BP95" si="26">AA60</f>
        <v>340</v>
      </c>
      <c r="BQ87" s="1">
        <f t="shared" ref="BQ87:BQ95" si="27">AI60/2-AE60/2</f>
        <v>-1694.5479735318577</v>
      </c>
      <c r="BR87" s="1">
        <f>-BP95</f>
        <v>-868</v>
      </c>
      <c r="BS87" s="1">
        <f>BQ95</f>
        <v>-1.0196078431372546</v>
      </c>
      <c r="CF87" s="110">
        <v>-5.21</v>
      </c>
      <c r="CG87" s="30">
        <v>2.59</v>
      </c>
      <c r="CH87" s="30">
        <v>2.59</v>
      </c>
    </row>
    <row r="88" spans="1:86" ht="18" customHeight="1" x14ac:dyDescent="0.2">
      <c r="A88" s="80"/>
      <c r="B88" s="32">
        <v>406</v>
      </c>
      <c r="C88" s="33">
        <v>182.928</v>
      </c>
      <c r="D88" s="34">
        <v>323.95689999999996</v>
      </c>
      <c r="E88" s="35">
        <v>131.01499999999999</v>
      </c>
      <c r="F88" s="36">
        <v>42.564999999999998</v>
      </c>
      <c r="G88" s="37">
        <v>6.52</v>
      </c>
      <c r="H88" s="38">
        <v>6.55</v>
      </c>
      <c r="I88" s="37">
        <v>-0.46</v>
      </c>
      <c r="J88" s="38">
        <v>-4.3899999999999997</v>
      </c>
      <c r="K88" s="38">
        <v>9.3460000000000001</v>
      </c>
      <c r="L88" s="38">
        <v>5.4430107526881724</v>
      </c>
      <c r="M88" s="38">
        <v>-15.649999904632569</v>
      </c>
      <c r="N88" s="185"/>
      <c r="O88" s="3"/>
      <c r="P88" s="3"/>
      <c r="Q88" s="3"/>
      <c r="R88" s="4"/>
      <c r="S88" s="4"/>
      <c r="T88" s="4"/>
      <c r="U88" s="178"/>
      <c r="V88" s="3"/>
      <c r="W88" s="3"/>
      <c r="X88" s="3"/>
      <c r="AA88" s="127"/>
      <c r="AB88" s="127"/>
      <c r="AC88" s="127"/>
      <c r="AD88" s="127"/>
      <c r="AE88" s="127"/>
      <c r="AF88" s="127"/>
      <c r="AG88" s="127"/>
      <c r="AH88" s="127"/>
      <c r="AI88" s="127"/>
      <c r="AJ88" s="124"/>
      <c r="AK88" s="152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4"/>
      <c r="BG88" s="197"/>
      <c r="BK88" s="1">
        <f t="shared" si="24"/>
        <v>406</v>
      </c>
      <c r="BL88" s="63">
        <f t="shared" si="25"/>
        <v>-0.91164613661814187</v>
      </c>
      <c r="BM88" s="1">
        <f>-BK94</f>
        <v>-802</v>
      </c>
      <c r="BN88" s="1">
        <f>BL94</f>
        <v>-1.5247524752475243</v>
      </c>
      <c r="BP88" s="1">
        <f t="shared" si="26"/>
        <v>406</v>
      </c>
      <c r="BQ88" s="1">
        <f t="shared" si="27"/>
        <v>-0.91164613661814187</v>
      </c>
      <c r="BR88" s="1">
        <f>-BP94</f>
        <v>-802</v>
      </c>
      <c r="BS88" s="1">
        <f>BQ94</f>
        <v>-0.99999999999999822</v>
      </c>
      <c r="CF88" s="111">
        <v>-4.3900000000000006</v>
      </c>
      <c r="CG88" s="38">
        <v>3.47</v>
      </c>
      <c r="CH88" s="38">
        <v>3.47</v>
      </c>
    </row>
    <row r="89" spans="1:86" ht="18" customHeight="1" x14ac:dyDescent="0.2">
      <c r="A89" s="80"/>
      <c r="B89" s="32">
        <v>472</v>
      </c>
      <c r="C89" s="33">
        <v>248.928</v>
      </c>
      <c r="D89" s="34">
        <v>389.95690000000002</v>
      </c>
      <c r="E89" s="35">
        <v>123.874</v>
      </c>
      <c r="F89" s="36">
        <v>47.984999999999999</v>
      </c>
      <c r="G89" s="37">
        <v>6.16</v>
      </c>
      <c r="H89" s="38">
        <v>6.19</v>
      </c>
      <c r="I89" s="37">
        <v>0.16</v>
      </c>
      <c r="J89" s="38">
        <v>4.1100000000000003</v>
      </c>
      <c r="K89" s="38">
        <v>9.968</v>
      </c>
      <c r="L89" s="38">
        <v>5.3193548387096774</v>
      </c>
      <c r="M89" s="38">
        <v>-15.149999904632569</v>
      </c>
      <c r="N89" s="185"/>
      <c r="O89" s="3"/>
      <c r="P89" s="3"/>
      <c r="Q89" s="3"/>
      <c r="R89" s="4"/>
      <c r="S89" s="4"/>
      <c r="T89" s="4"/>
      <c r="U89" s="178"/>
      <c r="V89" s="3"/>
      <c r="W89" s="3"/>
      <c r="X89" s="3"/>
      <c r="AA89" s="127"/>
      <c r="AB89" s="127"/>
      <c r="AC89" s="127"/>
      <c r="AD89" s="127"/>
      <c r="AE89" s="127"/>
      <c r="AF89" s="127"/>
      <c r="AG89" s="127"/>
      <c r="AH89" s="127"/>
      <c r="AI89" s="127"/>
      <c r="AJ89" s="124"/>
      <c r="AK89" s="152"/>
      <c r="AU89" s="127"/>
      <c r="AV89" s="127"/>
      <c r="AW89" s="127"/>
      <c r="AX89" s="127"/>
      <c r="AY89" s="127"/>
      <c r="AZ89" s="127"/>
      <c r="BA89" s="127"/>
      <c r="BB89" s="127"/>
      <c r="BC89" s="127"/>
      <c r="BD89" s="127"/>
      <c r="BE89" s="127"/>
      <c r="BF89" s="124"/>
      <c r="BG89" s="197"/>
      <c r="BK89" s="1">
        <f t="shared" si="24"/>
        <v>472</v>
      </c>
      <c r="BL89" s="63">
        <f t="shared" si="25"/>
        <v>-0.92708333333333381</v>
      </c>
      <c r="BM89" s="1">
        <f>-BK93</f>
        <v>-736</v>
      </c>
      <c r="BN89" s="1">
        <f>BL93</f>
        <v>-1.1287128712871288</v>
      </c>
      <c r="BP89" s="1">
        <f t="shared" si="26"/>
        <v>472</v>
      </c>
      <c r="BQ89" s="1">
        <f t="shared" si="27"/>
        <v>-0.92708333333333381</v>
      </c>
      <c r="BR89" s="1">
        <f>-BP93</f>
        <v>-736</v>
      </c>
      <c r="BS89" s="1">
        <f>BQ93</f>
        <v>-0.97435643564356456</v>
      </c>
      <c r="CF89" s="111">
        <v>-3.79</v>
      </c>
      <c r="CG89" s="38">
        <v>4.1100000000000003</v>
      </c>
      <c r="CH89" s="38">
        <v>4.1100000000000003</v>
      </c>
    </row>
    <row r="90" spans="1:86" ht="18" customHeight="1" x14ac:dyDescent="0.2">
      <c r="A90" s="80"/>
      <c r="B90" s="32">
        <v>538</v>
      </c>
      <c r="C90" s="33">
        <v>314.928</v>
      </c>
      <c r="D90" s="34">
        <v>455.95690000000002</v>
      </c>
      <c r="E90" s="35">
        <v>118.684</v>
      </c>
      <c r="F90" s="36">
        <v>53.41</v>
      </c>
      <c r="G90" s="37">
        <v>5.89</v>
      </c>
      <c r="H90" s="38">
        <v>5.93</v>
      </c>
      <c r="I90" s="37">
        <v>0.64</v>
      </c>
      <c r="J90" s="38">
        <v>4.5999999999999996</v>
      </c>
      <c r="K90" s="38">
        <v>10.567</v>
      </c>
      <c r="L90" s="38">
        <v>5.2021505376344086</v>
      </c>
      <c r="M90" s="38">
        <v>-14.759999904632569</v>
      </c>
      <c r="N90" s="185"/>
      <c r="O90" s="3"/>
      <c r="P90" s="3"/>
      <c r="Q90" s="3"/>
      <c r="R90" s="4"/>
      <c r="S90" s="4"/>
      <c r="T90" s="4"/>
      <c r="U90" s="178"/>
      <c r="V90" s="3"/>
      <c r="W90" s="3"/>
      <c r="X90" s="3"/>
      <c r="AA90" s="127"/>
      <c r="AB90" s="127"/>
      <c r="AC90" s="127"/>
      <c r="AD90" s="127"/>
      <c r="AE90" s="127"/>
      <c r="AF90" s="127"/>
      <c r="AG90" s="127"/>
      <c r="AH90" s="127"/>
      <c r="AI90" s="127"/>
      <c r="AJ90" s="124"/>
      <c r="AK90" s="152"/>
      <c r="AU90" s="127"/>
      <c r="AV90" s="127"/>
      <c r="AW90" s="127"/>
      <c r="AX90" s="127"/>
      <c r="AY90" s="127"/>
      <c r="AZ90" s="127"/>
      <c r="BA90" s="127"/>
      <c r="BB90" s="127"/>
      <c r="BC90" s="127"/>
      <c r="BD90" s="127"/>
      <c r="BE90" s="127"/>
      <c r="BF90" s="124"/>
      <c r="BG90" s="197"/>
      <c r="BK90" s="1">
        <f t="shared" si="24"/>
        <v>538</v>
      </c>
      <c r="BL90" s="63">
        <f t="shared" si="25"/>
        <v>-0.93099095308226487</v>
      </c>
      <c r="BM90" s="1">
        <f>-BK92</f>
        <v>-670</v>
      </c>
      <c r="BN90" s="1">
        <f>BL92</f>
        <v>-0.95959595959595889</v>
      </c>
      <c r="BP90" s="1">
        <f t="shared" si="26"/>
        <v>538</v>
      </c>
      <c r="BQ90" s="1">
        <f t="shared" si="27"/>
        <v>-0.93099095308226487</v>
      </c>
      <c r="BR90" s="1">
        <f>-BP92</f>
        <v>-670</v>
      </c>
      <c r="BS90" s="1">
        <f>BQ92</f>
        <v>-0.95959595959595889</v>
      </c>
      <c r="CF90" s="111">
        <v>-3.32</v>
      </c>
      <c r="CG90" s="38">
        <v>4.5999999999999996</v>
      </c>
      <c r="CH90" s="38">
        <v>4.5999999999999996</v>
      </c>
    </row>
    <row r="91" spans="1:86" ht="18" customHeight="1" x14ac:dyDescent="0.2">
      <c r="A91" s="80"/>
      <c r="B91" s="32">
        <v>604</v>
      </c>
      <c r="C91" s="33">
        <v>380.928</v>
      </c>
      <c r="D91" s="34">
        <v>521.95690000000002</v>
      </c>
      <c r="E91" s="35">
        <v>114.73</v>
      </c>
      <c r="F91" s="36">
        <v>58.843000000000004</v>
      </c>
      <c r="G91" s="37">
        <v>5.69</v>
      </c>
      <c r="H91" s="38">
        <v>5.74</v>
      </c>
      <c r="I91" s="37">
        <v>1.02</v>
      </c>
      <c r="J91" s="38">
        <v>4.99</v>
      </c>
      <c r="K91" s="38">
        <v>11.39</v>
      </c>
      <c r="L91" s="38">
        <v>5.0924731182795693</v>
      </c>
      <c r="M91" s="38">
        <v>-14.439999904632568</v>
      </c>
      <c r="N91" s="185"/>
      <c r="O91" s="9"/>
      <c r="P91" s="10"/>
      <c r="Q91" s="10"/>
      <c r="R91" s="8"/>
      <c r="S91" s="8"/>
      <c r="T91" s="8"/>
      <c r="U91" s="178"/>
      <c r="V91" s="9"/>
      <c r="W91" s="10"/>
      <c r="X91" s="10"/>
      <c r="AA91" s="127"/>
      <c r="AB91" s="127"/>
      <c r="AC91" s="127"/>
      <c r="AD91" s="127"/>
      <c r="AE91" s="127"/>
      <c r="AF91" s="127"/>
      <c r="AG91" s="127"/>
      <c r="AH91" s="127"/>
      <c r="AI91" s="127"/>
      <c r="AJ91" s="124"/>
      <c r="AK91" s="152"/>
      <c r="AU91" s="127"/>
      <c r="AV91" s="127"/>
      <c r="AW91" s="127"/>
      <c r="AX91" s="127"/>
      <c r="AY91" s="127"/>
      <c r="AZ91" s="127"/>
      <c r="BA91" s="127"/>
      <c r="BB91" s="127"/>
      <c r="BC91" s="127"/>
      <c r="BD91" s="127"/>
      <c r="BE91" s="127"/>
      <c r="BF91" s="124"/>
      <c r="BG91" s="197"/>
      <c r="BK91" s="1">
        <f t="shared" si="24"/>
        <v>604</v>
      </c>
      <c r="BL91" s="63">
        <f t="shared" si="25"/>
        <v>-0.94846423417851922</v>
      </c>
      <c r="BM91" s="1">
        <f>-BK91</f>
        <v>-604</v>
      </c>
      <c r="BN91" s="1">
        <f>BL91</f>
        <v>-0.94846423417851922</v>
      </c>
      <c r="BP91" s="1">
        <f t="shared" si="26"/>
        <v>604</v>
      </c>
      <c r="BQ91" s="1">
        <f t="shared" si="27"/>
        <v>-0.94846423417851922</v>
      </c>
      <c r="BR91" s="1">
        <f>-BP91</f>
        <v>-604</v>
      </c>
      <c r="BS91" s="1">
        <f>BQ91</f>
        <v>-0.94846423417851922</v>
      </c>
      <c r="CF91" s="111">
        <v>-2.95</v>
      </c>
      <c r="CG91" s="38">
        <v>4.99</v>
      </c>
      <c r="CH91" s="38">
        <v>4.99</v>
      </c>
    </row>
    <row r="92" spans="1:86" ht="18" customHeight="1" x14ac:dyDescent="0.2">
      <c r="A92" s="80"/>
      <c r="B92" s="32">
        <v>670</v>
      </c>
      <c r="C92" s="33">
        <v>446.928</v>
      </c>
      <c r="D92" s="34">
        <v>587.95690000000002</v>
      </c>
      <c r="E92" s="35">
        <v>111.607</v>
      </c>
      <c r="F92" s="36">
        <v>64.283000000000001</v>
      </c>
      <c r="G92" s="37">
        <v>5.53</v>
      </c>
      <c r="H92" s="38">
        <v>5.58</v>
      </c>
      <c r="I92" s="37">
        <v>1.33</v>
      </c>
      <c r="J92" s="38">
        <v>5.31</v>
      </c>
      <c r="K92" s="38">
        <v>12.188000000000001</v>
      </c>
      <c r="L92" s="38">
        <v>4.9870967741935486</v>
      </c>
      <c r="M92" s="38">
        <v>-14.149999904632569</v>
      </c>
      <c r="N92" s="185"/>
      <c r="O92" s="9"/>
      <c r="P92" s="10"/>
      <c r="Q92" s="10"/>
      <c r="R92" s="5"/>
      <c r="S92" s="6"/>
      <c r="T92" s="6"/>
      <c r="U92" s="178"/>
      <c r="V92" s="9"/>
      <c r="W92" s="10"/>
      <c r="X92" s="10"/>
      <c r="AA92" s="127"/>
      <c r="AB92" s="127"/>
      <c r="AC92" s="127"/>
      <c r="AD92" s="127"/>
      <c r="AE92" s="127"/>
      <c r="AF92" s="127"/>
      <c r="AG92" s="127"/>
      <c r="AH92" s="127"/>
      <c r="AI92" s="127"/>
      <c r="AJ92" s="124"/>
      <c r="AK92" s="152"/>
      <c r="AU92" s="127"/>
      <c r="AV92" s="127"/>
      <c r="AW92" s="127"/>
      <c r="AX92" s="127"/>
      <c r="AY92" s="127"/>
      <c r="AZ92" s="127"/>
      <c r="BA92" s="127"/>
      <c r="BB92" s="127"/>
      <c r="BC92" s="127"/>
      <c r="BD92" s="127"/>
      <c r="BE92" s="127"/>
      <c r="BF92" s="124"/>
      <c r="BG92" s="197"/>
      <c r="BK92" s="1">
        <f t="shared" si="24"/>
        <v>670</v>
      </c>
      <c r="BL92" s="63">
        <f t="shared" si="25"/>
        <v>-0.95959595959595889</v>
      </c>
      <c r="BM92" s="1">
        <f>-BK90</f>
        <v>-538</v>
      </c>
      <c r="BN92" s="1">
        <f>BL90</f>
        <v>-0.93099095308226487</v>
      </c>
      <c r="BP92" s="1">
        <f t="shared" si="26"/>
        <v>670</v>
      </c>
      <c r="BQ92" s="1">
        <f t="shared" si="27"/>
        <v>-0.95959595959595889</v>
      </c>
      <c r="BR92" s="1">
        <f>-BP90</f>
        <v>-538</v>
      </c>
      <c r="BS92" s="1">
        <f>BQ90</f>
        <v>-0.93099095308226487</v>
      </c>
      <c r="CF92" s="111">
        <v>-2.65</v>
      </c>
      <c r="CG92" s="38">
        <v>5.3100000000000005</v>
      </c>
      <c r="CH92" s="38">
        <v>5.3100000000000005</v>
      </c>
    </row>
    <row r="93" spans="1:86" ht="18" customHeight="1" x14ac:dyDescent="0.2">
      <c r="A93" s="80"/>
      <c r="B93" s="32">
        <v>736</v>
      </c>
      <c r="C93" s="33">
        <v>512.928</v>
      </c>
      <c r="D93" s="34">
        <v>653.95689999999991</v>
      </c>
      <c r="E93" s="35">
        <v>109.07</v>
      </c>
      <c r="F93" s="36">
        <v>69.73</v>
      </c>
      <c r="G93" s="37">
        <v>5.4</v>
      </c>
      <c r="H93" s="38">
        <v>5.45</v>
      </c>
      <c r="I93" s="37">
        <v>1.58</v>
      </c>
      <c r="J93" s="38">
        <v>5.57</v>
      </c>
      <c r="K93" s="38">
        <v>12.907999999999999</v>
      </c>
      <c r="L93" s="38">
        <v>4.8881720430107523</v>
      </c>
      <c r="M93" s="38">
        <v>-13.879999904632569</v>
      </c>
      <c r="N93" s="185"/>
      <c r="O93" s="9"/>
      <c r="P93" s="10"/>
      <c r="Q93" s="10"/>
      <c r="R93" s="5"/>
      <c r="S93" s="6"/>
      <c r="T93" s="6"/>
      <c r="U93" s="178"/>
      <c r="V93" s="9"/>
      <c r="W93" s="10"/>
      <c r="X93" s="10"/>
      <c r="AA93" s="127"/>
      <c r="AB93" s="127"/>
      <c r="AC93" s="127"/>
      <c r="AD93" s="127"/>
      <c r="AE93" s="127"/>
      <c r="AF93" s="127"/>
      <c r="AG93" s="127"/>
      <c r="AH93" s="127"/>
      <c r="AI93" s="127"/>
      <c r="AJ93" s="124"/>
      <c r="AK93" s="152"/>
      <c r="AU93" s="127"/>
      <c r="AV93" s="127"/>
      <c r="AW93" s="127"/>
      <c r="AX93" s="127"/>
      <c r="AY93" s="127"/>
      <c r="AZ93" s="127"/>
      <c r="BA93" s="127"/>
      <c r="BB93" s="127"/>
      <c r="BC93" s="127"/>
      <c r="BD93" s="127"/>
      <c r="BE93" s="127"/>
      <c r="BF93" s="124"/>
      <c r="BG93" s="197"/>
      <c r="BK93" s="1">
        <f t="shared" si="24"/>
        <v>736</v>
      </c>
      <c r="BL93" s="63">
        <f t="shared" si="25"/>
        <v>-1.1287128712871288</v>
      </c>
      <c r="BM93" s="1">
        <f>-BK89</f>
        <v>-472</v>
      </c>
      <c r="BN93" s="1">
        <f>BL89</f>
        <v>-0.92708333333333381</v>
      </c>
      <c r="BP93" s="1">
        <f t="shared" si="26"/>
        <v>736</v>
      </c>
      <c r="BQ93" s="1">
        <f t="shared" si="27"/>
        <v>-0.97435643564356456</v>
      </c>
      <c r="BR93" s="1">
        <f>-BP89</f>
        <v>-472</v>
      </c>
      <c r="BS93" s="1">
        <f>BQ89</f>
        <v>-0.92708333333333381</v>
      </c>
      <c r="CF93" s="111">
        <v>-2.41</v>
      </c>
      <c r="CG93" s="38">
        <v>5.57</v>
      </c>
      <c r="CH93" s="38">
        <v>5.57</v>
      </c>
    </row>
    <row r="94" spans="1:86" ht="18" customHeight="1" x14ac:dyDescent="0.2">
      <c r="A94" s="84"/>
      <c r="B94" s="32">
        <v>802</v>
      </c>
      <c r="C94" s="33">
        <v>578.928</v>
      </c>
      <c r="D94" s="34">
        <v>719.95690000000002</v>
      </c>
      <c r="E94" s="49">
        <v>106.96</v>
      </c>
      <c r="F94" s="50">
        <v>75.183999999999997</v>
      </c>
      <c r="G94" s="51">
        <v>5.29</v>
      </c>
      <c r="H94" s="52">
        <v>5.35</v>
      </c>
      <c r="I94" s="51">
        <v>1.8</v>
      </c>
      <c r="J94" s="52">
        <v>5.8</v>
      </c>
      <c r="K94" s="38">
        <v>13.574</v>
      </c>
      <c r="L94" s="38">
        <v>4.7946236559139779</v>
      </c>
      <c r="M94" s="38">
        <v>-13.629999904632569</v>
      </c>
      <c r="N94" s="185"/>
      <c r="O94" s="9"/>
      <c r="P94" s="10"/>
      <c r="Q94" s="10"/>
      <c r="R94" s="5"/>
      <c r="S94" s="6"/>
      <c r="T94" s="6"/>
      <c r="U94" s="178"/>
      <c r="V94" s="9"/>
      <c r="W94" s="10"/>
      <c r="X94" s="10"/>
      <c r="AA94" s="127"/>
      <c r="AB94" s="127"/>
      <c r="AC94" s="127"/>
      <c r="AD94" s="127"/>
      <c r="AE94" s="127"/>
      <c r="AF94" s="127"/>
      <c r="AG94" s="127"/>
      <c r="AH94" s="127"/>
      <c r="AI94" s="127"/>
      <c r="AJ94" s="124"/>
      <c r="AK94" s="152"/>
      <c r="AU94" s="127"/>
      <c r="AV94" s="127"/>
      <c r="AW94" s="127"/>
      <c r="AX94" s="127"/>
      <c r="AY94" s="127"/>
      <c r="AZ94" s="127"/>
      <c r="BA94" s="127"/>
      <c r="BB94" s="127"/>
      <c r="BC94" s="127"/>
      <c r="BD94" s="127"/>
      <c r="BE94" s="127"/>
      <c r="BF94" s="124"/>
      <c r="BG94" s="197"/>
      <c r="BK94" s="1">
        <f t="shared" si="24"/>
        <v>802</v>
      </c>
      <c r="BL94" s="63">
        <f t="shared" si="25"/>
        <v>-1.5247524752475243</v>
      </c>
      <c r="BM94" s="1">
        <f>-BK88</f>
        <v>-406</v>
      </c>
      <c r="BN94" s="1">
        <f>BL88</f>
        <v>-0.91164613661814187</v>
      </c>
      <c r="BP94" s="1">
        <f t="shared" si="26"/>
        <v>802</v>
      </c>
      <c r="BQ94" s="1">
        <f t="shared" si="27"/>
        <v>-0.99999999999999822</v>
      </c>
      <c r="BR94" s="1">
        <f>-BP88</f>
        <v>-406</v>
      </c>
      <c r="BS94" s="1">
        <f>BQ88</f>
        <v>-0.91164613661814187</v>
      </c>
      <c r="CF94" s="111">
        <v>-2.2000000000000002</v>
      </c>
      <c r="CG94" s="38">
        <v>5.8</v>
      </c>
      <c r="CH94" s="38">
        <v>5.8</v>
      </c>
    </row>
    <row r="95" spans="1:86" ht="18" customHeight="1" thickBot="1" x14ac:dyDescent="0.25">
      <c r="A95" s="85"/>
      <c r="B95" s="39">
        <v>868</v>
      </c>
      <c r="C95" s="53">
        <v>644.928</v>
      </c>
      <c r="D95" s="54">
        <v>785.95689999999991</v>
      </c>
      <c r="E95" s="55">
        <v>105.169</v>
      </c>
      <c r="F95" s="56">
        <v>80.644000000000005</v>
      </c>
      <c r="G95" s="57">
        <v>5.19</v>
      </c>
      <c r="H95" s="58">
        <v>5.26</v>
      </c>
      <c r="I95" s="57">
        <v>1.98</v>
      </c>
      <c r="J95" s="58">
        <v>5.99</v>
      </c>
      <c r="K95" s="45">
        <v>14.199</v>
      </c>
      <c r="L95" s="45">
        <v>4.7064516129032254</v>
      </c>
      <c r="M95" s="45">
        <v>-13.399999904632569</v>
      </c>
      <c r="N95" s="185"/>
      <c r="O95" s="9"/>
      <c r="P95" s="10"/>
      <c r="Q95" s="10"/>
      <c r="R95" s="5"/>
      <c r="S95" s="6"/>
      <c r="T95" s="6"/>
      <c r="U95" s="178"/>
      <c r="V95" s="9"/>
      <c r="W95" s="10"/>
      <c r="X95" s="10"/>
      <c r="AA95" s="127"/>
      <c r="AB95" s="127"/>
      <c r="AC95" s="127"/>
      <c r="AD95" s="127"/>
      <c r="AE95" s="127"/>
      <c r="AF95" s="127"/>
      <c r="AG95" s="127"/>
      <c r="AH95" s="127"/>
      <c r="AI95" s="127"/>
      <c r="AJ95" s="124"/>
      <c r="AK95" s="152"/>
      <c r="AU95" s="127"/>
      <c r="AV95" s="127"/>
      <c r="AW95" s="127"/>
      <c r="AX95" s="127"/>
      <c r="AY95" s="127"/>
      <c r="AZ95" s="127"/>
      <c r="BA95" s="127"/>
      <c r="BB95" s="127"/>
      <c r="BC95" s="127"/>
      <c r="BD95" s="127"/>
      <c r="BE95" s="127"/>
      <c r="BF95" s="124"/>
      <c r="BG95" s="197"/>
      <c r="BK95" s="1">
        <f t="shared" si="24"/>
        <v>868</v>
      </c>
      <c r="BL95" s="63">
        <f t="shared" si="25"/>
        <v>-1.8431372549019609</v>
      </c>
      <c r="BM95" s="1">
        <f>-BK87</f>
        <v>-340</v>
      </c>
      <c r="BN95" s="1">
        <f>BL87</f>
        <v>-3382.794871794898</v>
      </c>
      <c r="BP95" s="1">
        <f t="shared" si="26"/>
        <v>868</v>
      </c>
      <c r="BQ95" s="1">
        <f t="shared" si="27"/>
        <v>-1.0196078431372546</v>
      </c>
      <c r="BR95" s="1">
        <f>-BP87</f>
        <v>-340</v>
      </c>
      <c r="BS95" s="1">
        <f>BQ87</f>
        <v>-1694.5479735318577</v>
      </c>
      <c r="CF95" s="112">
        <v>-2.0299999999999998</v>
      </c>
      <c r="CG95" s="45">
        <v>5.99</v>
      </c>
      <c r="CH95" s="45">
        <v>5.99</v>
      </c>
    </row>
    <row r="96" spans="1:86" ht="18" customHeight="1" x14ac:dyDescent="0.2">
      <c r="A96" s="78">
        <v>10</v>
      </c>
      <c r="B96" s="24">
        <v>340</v>
      </c>
      <c r="C96" s="25">
        <v>116.928</v>
      </c>
      <c r="D96" s="26">
        <v>257.95690000000002</v>
      </c>
      <c r="E96" s="27">
        <v>165.24199999999999</v>
      </c>
      <c r="F96" s="28">
        <v>43.344999999999999</v>
      </c>
      <c r="G96" s="29">
        <v>8.24</v>
      </c>
      <c r="H96" s="30">
        <v>8.26</v>
      </c>
      <c r="I96" s="29">
        <v>-0.38</v>
      </c>
      <c r="J96" s="30">
        <v>-4.29</v>
      </c>
      <c r="K96" s="30">
        <v>9.2270000000000003</v>
      </c>
      <c r="L96" s="30">
        <v>5.5731182795698926</v>
      </c>
      <c r="M96" s="30">
        <v>-20.939999904632568</v>
      </c>
      <c r="N96" s="185"/>
      <c r="O96" s="9"/>
      <c r="P96" s="10"/>
      <c r="Q96" s="10"/>
      <c r="R96" s="5"/>
      <c r="S96" s="6"/>
      <c r="T96" s="6"/>
      <c r="U96" s="178"/>
      <c r="V96" s="9"/>
      <c r="W96" s="10"/>
      <c r="X96" s="10"/>
      <c r="AA96" s="124"/>
      <c r="AB96" s="124"/>
      <c r="AC96" s="127"/>
      <c r="AD96" s="127"/>
      <c r="AE96" s="127"/>
      <c r="AF96" s="127"/>
      <c r="AG96" s="127"/>
      <c r="AH96" s="127"/>
      <c r="AI96" s="127"/>
      <c r="AJ96" s="124"/>
      <c r="AK96" s="152"/>
      <c r="AU96" s="124"/>
      <c r="AV96" s="124"/>
      <c r="AW96" s="127"/>
      <c r="AX96" s="127"/>
      <c r="AY96" s="127"/>
      <c r="AZ96" s="127"/>
      <c r="BA96" s="127"/>
      <c r="BB96" s="127"/>
      <c r="BC96" s="127"/>
      <c r="BD96" s="127"/>
      <c r="BE96" s="127"/>
      <c r="BF96" s="124"/>
      <c r="BG96" s="197"/>
      <c r="BJ96" s="1">
        <f>BJ69</f>
        <v>1</v>
      </c>
      <c r="BK96" s="63">
        <f>BK95+(BK95-BK94)*BJ96</f>
        <v>934</v>
      </c>
      <c r="BL96" s="63">
        <f>BL95+(BL95-BL94)*BJ96</f>
        <v>-2.1615220345563975</v>
      </c>
      <c r="BM96" s="63">
        <f>BM95+(BM95-BM94)*BJ86</f>
        <v>-274</v>
      </c>
      <c r="BN96" s="63">
        <f>BN95+(BN95-BN94)*BJ86</f>
        <v>-6764.6780974531775</v>
      </c>
      <c r="BO96" s="1">
        <f>BO69</f>
        <v>1</v>
      </c>
      <c r="BP96" s="63">
        <f>BP95+(BP95-BP94)*BO96</f>
        <v>934</v>
      </c>
      <c r="BQ96" s="63">
        <f>BQ95+(BQ95-BQ94)*BO96</f>
        <v>-1.039215686274511</v>
      </c>
      <c r="BR96" s="63">
        <f>BR95+(BR95-BR94)*BO86</f>
        <v>320</v>
      </c>
      <c r="BS96" s="63">
        <f>BS95+(BS95-BS94)*BO86</f>
        <v>-18630.911247484255</v>
      </c>
      <c r="CF96" s="110">
        <v>-4.28</v>
      </c>
      <c r="CG96" s="30">
        <v>3.52</v>
      </c>
      <c r="CH96" s="30">
        <v>3.52</v>
      </c>
    </row>
    <row r="97" spans="1:86" ht="18" customHeight="1" x14ac:dyDescent="0.2">
      <c r="A97" s="80"/>
      <c r="B97" s="32">
        <v>406</v>
      </c>
      <c r="C97" s="33">
        <v>182.928</v>
      </c>
      <c r="D97" s="34">
        <v>323.95689999999996</v>
      </c>
      <c r="E97" s="35">
        <v>154.303</v>
      </c>
      <c r="F97" s="36">
        <v>50.094999999999999</v>
      </c>
      <c r="G97" s="37">
        <v>7.68</v>
      </c>
      <c r="H97" s="38">
        <v>7.72</v>
      </c>
      <c r="I97" s="37">
        <v>0.49</v>
      </c>
      <c r="J97" s="38">
        <v>4.42</v>
      </c>
      <c r="K97" s="38">
        <v>9.859</v>
      </c>
      <c r="L97" s="38">
        <v>5.4430107526881724</v>
      </c>
      <c r="M97" s="38">
        <v>-20.219999904632566</v>
      </c>
      <c r="N97" s="185"/>
      <c r="O97" s="9"/>
      <c r="P97" s="10"/>
      <c r="Q97" s="10"/>
      <c r="R97" s="5"/>
      <c r="S97" s="6"/>
      <c r="T97" s="6"/>
      <c r="U97" s="178"/>
      <c r="V97" s="9"/>
      <c r="W97" s="10"/>
      <c r="X97" s="10"/>
      <c r="AA97" s="124"/>
      <c r="AB97" s="124"/>
      <c r="AC97" s="127"/>
      <c r="AD97" s="127"/>
      <c r="AE97" s="127"/>
      <c r="AF97" s="127"/>
      <c r="AG97" s="127"/>
      <c r="AH97" s="127"/>
      <c r="AI97" s="127"/>
      <c r="AJ97" s="124"/>
      <c r="AK97" s="152"/>
      <c r="AU97" s="124"/>
      <c r="AV97" s="124"/>
      <c r="AW97" s="127"/>
      <c r="AX97" s="127"/>
      <c r="AY97" s="127"/>
      <c r="AZ97" s="127"/>
      <c r="BA97" s="127"/>
      <c r="BB97" s="127"/>
      <c r="BC97" s="127"/>
      <c r="BD97" s="127"/>
      <c r="BE97" s="127"/>
      <c r="BF97" s="124"/>
      <c r="BG97" s="197"/>
      <c r="CF97" s="111">
        <v>-3.4400000000000004</v>
      </c>
      <c r="CG97" s="38">
        <v>4.42</v>
      </c>
      <c r="CH97" s="38">
        <v>4.42</v>
      </c>
    </row>
    <row r="98" spans="1:86" ht="18" customHeight="1" x14ac:dyDescent="0.2">
      <c r="A98" s="80"/>
      <c r="B98" s="32">
        <v>472</v>
      </c>
      <c r="C98" s="33">
        <v>248.928</v>
      </c>
      <c r="D98" s="34">
        <v>389.95690000000002</v>
      </c>
      <c r="E98" s="35">
        <v>146.84100000000001</v>
      </c>
      <c r="F98" s="36">
        <v>56.845999999999997</v>
      </c>
      <c r="G98" s="37">
        <v>7.3</v>
      </c>
      <c r="H98" s="38">
        <v>7.34</v>
      </c>
      <c r="I98" s="37">
        <v>1.1299999999999999</v>
      </c>
      <c r="J98" s="38">
        <v>5.07</v>
      </c>
      <c r="K98" s="38">
        <v>10.864000000000001</v>
      </c>
      <c r="L98" s="38">
        <v>5.3193548387096774</v>
      </c>
      <c r="M98" s="38">
        <v>-19.709999904632568</v>
      </c>
      <c r="N98" s="185"/>
      <c r="O98" s="9"/>
      <c r="P98" s="10"/>
      <c r="Q98" s="10"/>
      <c r="R98" s="5"/>
      <c r="S98" s="6"/>
      <c r="T98" s="6"/>
      <c r="U98" s="178"/>
      <c r="V98" s="9"/>
      <c r="W98" s="10"/>
      <c r="X98" s="10"/>
      <c r="AA98" s="124"/>
      <c r="AB98" s="124"/>
      <c r="AC98" s="127"/>
      <c r="AD98" s="127"/>
      <c r="AE98" s="127"/>
      <c r="AF98" s="127"/>
      <c r="AG98" s="127"/>
      <c r="AH98" s="127"/>
      <c r="AI98" s="127"/>
      <c r="AJ98" s="124"/>
      <c r="AK98" s="152"/>
      <c r="AU98" s="124"/>
      <c r="AV98" s="124"/>
      <c r="AW98" s="127"/>
      <c r="AX98" s="127"/>
      <c r="AY98" s="127"/>
      <c r="AZ98" s="127"/>
      <c r="BA98" s="127"/>
      <c r="BB98" s="127"/>
      <c r="BC98" s="127"/>
      <c r="BD98" s="127"/>
      <c r="BE98" s="127"/>
      <c r="BF98" s="124"/>
      <c r="BG98" s="197"/>
      <c r="CF98" s="111">
        <v>-2.8200000000000003</v>
      </c>
      <c r="CG98" s="38">
        <v>5.08</v>
      </c>
      <c r="CH98" s="38">
        <v>5.08</v>
      </c>
    </row>
    <row r="99" spans="1:86" ht="18" customHeight="1" x14ac:dyDescent="0.2">
      <c r="A99" s="80"/>
      <c r="B99" s="32">
        <v>538</v>
      </c>
      <c r="C99" s="33">
        <v>314.928</v>
      </c>
      <c r="D99" s="34">
        <v>455.95690000000002</v>
      </c>
      <c r="E99" s="35">
        <v>141.40799999999999</v>
      </c>
      <c r="F99" s="36">
        <v>63.601999999999997</v>
      </c>
      <c r="G99" s="37">
        <v>7.03</v>
      </c>
      <c r="H99" s="38">
        <v>7.07</v>
      </c>
      <c r="I99" s="37">
        <v>1.61</v>
      </c>
      <c r="J99" s="38">
        <v>5.58</v>
      </c>
      <c r="K99" s="38">
        <v>11.907999999999999</v>
      </c>
      <c r="L99" s="38">
        <v>5.2021505376344086</v>
      </c>
      <c r="M99" s="38">
        <v>-19.319999904632567</v>
      </c>
      <c r="N99" s="185"/>
      <c r="O99" s="9"/>
      <c r="P99" s="10"/>
      <c r="Q99" s="10"/>
      <c r="R99" s="5"/>
      <c r="S99" s="6"/>
      <c r="T99" s="6"/>
      <c r="U99" s="178"/>
      <c r="V99" s="9"/>
      <c r="W99" s="10"/>
      <c r="X99" s="10"/>
      <c r="AA99" s="127"/>
      <c r="AB99" s="127"/>
      <c r="AC99" s="127"/>
      <c r="AD99" s="127"/>
      <c r="AE99" s="127"/>
      <c r="AF99" s="127"/>
      <c r="AG99" s="127"/>
      <c r="AH99" s="127"/>
      <c r="AI99" s="127"/>
      <c r="AJ99" s="124"/>
      <c r="AK99" s="152"/>
      <c r="AU99" s="127"/>
      <c r="AV99" s="127"/>
      <c r="AW99" s="127"/>
      <c r="AX99" s="127"/>
      <c r="AY99" s="127"/>
      <c r="AZ99" s="127"/>
      <c r="BA99" s="127"/>
      <c r="BB99" s="127"/>
      <c r="BC99" s="127"/>
      <c r="BD99" s="127"/>
      <c r="BE99" s="127"/>
      <c r="BF99" s="124"/>
      <c r="BG99" s="197"/>
      <c r="CF99" s="111">
        <v>-2.3499999999999996</v>
      </c>
      <c r="CG99" s="38">
        <v>5.57</v>
      </c>
      <c r="CH99" s="38">
        <v>5.57</v>
      </c>
    </row>
    <row r="100" spans="1:86" ht="18" customHeight="1" x14ac:dyDescent="0.2">
      <c r="A100" s="80"/>
      <c r="B100" s="32">
        <v>604</v>
      </c>
      <c r="C100" s="33">
        <v>380.928</v>
      </c>
      <c r="D100" s="34">
        <v>521.95690000000002</v>
      </c>
      <c r="E100" s="35">
        <v>137.26</v>
      </c>
      <c r="F100" s="36">
        <v>70.364999999999995</v>
      </c>
      <c r="G100" s="37">
        <v>6.82</v>
      </c>
      <c r="H100" s="38">
        <v>6.86</v>
      </c>
      <c r="I100" s="37">
        <v>2</v>
      </c>
      <c r="J100" s="38">
        <v>5.98</v>
      </c>
      <c r="K100" s="38">
        <v>12.788</v>
      </c>
      <c r="L100" s="38">
        <v>5.0924731182795693</v>
      </c>
      <c r="M100" s="38">
        <v>-18.989999904632569</v>
      </c>
      <c r="N100" s="185"/>
      <c r="O100" s="9"/>
      <c r="P100" s="10"/>
      <c r="Q100" s="10"/>
      <c r="R100" s="5"/>
      <c r="S100" s="6"/>
      <c r="T100" s="6"/>
      <c r="U100" s="178"/>
      <c r="V100" s="9"/>
      <c r="W100" s="10"/>
      <c r="X100" s="10"/>
      <c r="AA100" s="127"/>
      <c r="AB100" s="127"/>
      <c r="AC100" s="127"/>
      <c r="AD100" s="127"/>
      <c r="AE100" s="127"/>
      <c r="AF100" s="127"/>
      <c r="AG100" s="127"/>
      <c r="AH100" s="127"/>
      <c r="AI100" s="127"/>
      <c r="AJ100" s="124"/>
      <c r="AK100" s="152"/>
      <c r="AU100" s="127"/>
      <c r="AV100" s="127"/>
      <c r="AW100" s="127"/>
      <c r="AX100" s="127"/>
      <c r="AY100" s="127"/>
      <c r="AZ100" s="127"/>
      <c r="BA100" s="127"/>
      <c r="BB100" s="127"/>
      <c r="BC100" s="127"/>
      <c r="BD100" s="127"/>
      <c r="BE100" s="127"/>
      <c r="BF100" s="124"/>
      <c r="BG100" s="197"/>
      <c r="CF100" s="111">
        <v>-1.9700000000000002</v>
      </c>
      <c r="CG100" s="38">
        <v>5.9700000000000006</v>
      </c>
      <c r="CH100" s="38">
        <v>5.9700000000000006</v>
      </c>
    </row>
    <row r="101" spans="1:86" ht="18" customHeight="1" x14ac:dyDescent="0.2">
      <c r="A101" s="80"/>
      <c r="B101" s="32">
        <v>670</v>
      </c>
      <c r="C101" s="33">
        <v>446.928</v>
      </c>
      <c r="D101" s="34">
        <v>587.95690000000002</v>
      </c>
      <c r="E101" s="35">
        <v>133.976</v>
      </c>
      <c r="F101" s="36">
        <v>77.134</v>
      </c>
      <c r="G101" s="37">
        <v>6.65</v>
      </c>
      <c r="H101" s="38">
        <v>6.7</v>
      </c>
      <c r="I101" s="37">
        <v>2.3199999999999998</v>
      </c>
      <c r="J101" s="38">
        <v>6.3</v>
      </c>
      <c r="K101" s="38">
        <v>13.557</v>
      </c>
      <c r="L101" s="38">
        <v>4.9870967741935486</v>
      </c>
      <c r="M101" s="38">
        <v>-18.69999990463257</v>
      </c>
      <c r="N101" s="185"/>
      <c r="O101" s="9"/>
      <c r="P101" s="10"/>
      <c r="Q101" s="10"/>
      <c r="R101" s="5"/>
      <c r="S101" s="6"/>
      <c r="T101" s="6"/>
      <c r="U101" s="178"/>
      <c r="V101" s="9"/>
      <c r="W101" s="10"/>
      <c r="X101" s="10"/>
      <c r="AA101" s="129" t="s">
        <v>27</v>
      </c>
      <c r="AB101" s="130" t="s">
        <v>126</v>
      </c>
      <c r="AC101" s="129"/>
      <c r="AD101" s="129"/>
      <c r="AE101" s="129"/>
      <c r="AF101" s="129" t="s">
        <v>28</v>
      </c>
      <c r="AG101" s="130" t="s">
        <v>129</v>
      </c>
      <c r="AH101" s="129"/>
      <c r="AI101" s="129"/>
      <c r="AJ101" s="129"/>
      <c r="AK101" s="152"/>
      <c r="AU101" s="129" t="s">
        <v>37</v>
      </c>
      <c r="AV101" s="130" t="str">
        <f>AB101</f>
        <v>1) 2deg Mean Upper Ball and Mean Lower Flex-Joint Angle</v>
      </c>
      <c r="AW101" s="129"/>
      <c r="AX101" s="129"/>
      <c r="AY101" s="129"/>
      <c r="AZ101" s="129"/>
      <c r="BA101" s="220" t="s">
        <v>105</v>
      </c>
      <c r="BB101" s="220"/>
      <c r="BC101" s="220"/>
      <c r="BD101" s="220"/>
      <c r="BE101" s="220"/>
      <c r="BF101" s="220"/>
      <c r="BG101" s="197"/>
      <c r="CF101" s="111">
        <v>-1.6600000000000001</v>
      </c>
      <c r="CG101" s="38">
        <v>6.3</v>
      </c>
      <c r="CH101" s="38">
        <v>6.3</v>
      </c>
    </row>
    <row r="102" spans="1:86" ht="18" customHeight="1" x14ac:dyDescent="0.2">
      <c r="A102" s="80"/>
      <c r="B102" s="32">
        <v>736</v>
      </c>
      <c r="C102" s="33">
        <v>512.928</v>
      </c>
      <c r="D102" s="34">
        <v>653.95689999999991</v>
      </c>
      <c r="E102" s="35">
        <v>131.30000000000001</v>
      </c>
      <c r="F102" s="36">
        <v>83.91</v>
      </c>
      <c r="G102" s="37">
        <v>6.51</v>
      </c>
      <c r="H102" s="38">
        <v>6.56</v>
      </c>
      <c r="I102" s="37">
        <v>2.58</v>
      </c>
      <c r="J102" s="38">
        <v>6.58</v>
      </c>
      <c r="K102" s="38">
        <v>14.25</v>
      </c>
      <c r="L102" s="38">
        <v>4.8881720430107523</v>
      </c>
      <c r="M102" s="38">
        <v>-18.439999904632568</v>
      </c>
      <c r="N102" s="185"/>
      <c r="O102" s="9"/>
      <c r="P102" s="10"/>
      <c r="Q102" s="10"/>
      <c r="R102" s="5"/>
      <c r="S102" s="6"/>
      <c r="T102" s="6"/>
      <c r="U102" s="178"/>
      <c r="V102" s="9"/>
      <c r="W102" s="10"/>
      <c r="X102" s="10"/>
      <c r="AA102" s="129"/>
      <c r="AB102" s="130" t="s">
        <v>104</v>
      </c>
      <c r="AC102" s="129"/>
      <c r="AD102" s="129"/>
      <c r="AE102" s="129"/>
      <c r="AF102" s="129"/>
      <c r="AG102" s="130" t="s">
        <v>130</v>
      </c>
      <c r="AH102" s="129"/>
      <c r="AI102" s="129"/>
      <c r="AJ102" s="129"/>
      <c r="AK102" s="152"/>
      <c r="AU102" s="129"/>
      <c r="AV102" s="130" t="str">
        <f>AB102</f>
        <v>2) 4deg Max Upper Ball and 4deg Max Lower Flex-Joint Angle</v>
      </c>
      <c r="AW102" s="129"/>
      <c r="AX102" s="129"/>
      <c r="AY102" s="129"/>
      <c r="AZ102" s="129"/>
      <c r="BA102" s="220"/>
      <c r="BB102" s="220"/>
      <c r="BC102" s="220"/>
      <c r="BD102" s="220"/>
      <c r="BE102" s="220"/>
      <c r="BF102" s="220"/>
      <c r="BG102" s="197"/>
      <c r="CF102" s="111">
        <v>-1.4100000000000001</v>
      </c>
      <c r="CG102" s="38">
        <v>6.57</v>
      </c>
      <c r="CH102" s="38">
        <v>6.57</v>
      </c>
    </row>
    <row r="103" spans="1:86" ht="18" customHeight="1" x14ac:dyDescent="0.2">
      <c r="A103" s="84"/>
      <c r="B103" s="32">
        <v>802</v>
      </c>
      <c r="C103" s="33">
        <v>578.928</v>
      </c>
      <c r="D103" s="34">
        <v>719.95690000000002</v>
      </c>
      <c r="E103" s="49">
        <v>129.06699999999998</v>
      </c>
      <c r="F103" s="50">
        <v>90.692999999999998</v>
      </c>
      <c r="G103" s="51">
        <v>6.39</v>
      </c>
      <c r="H103" s="52">
        <v>6.45</v>
      </c>
      <c r="I103" s="51">
        <v>2.8</v>
      </c>
      <c r="J103" s="52">
        <v>6.81</v>
      </c>
      <c r="K103" s="60">
        <v>14.89</v>
      </c>
      <c r="L103" s="60">
        <v>4.7946236559139779</v>
      </c>
      <c r="M103" s="60">
        <v>-18.189999904632568</v>
      </c>
      <c r="N103" s="185"/>
      <c r="O103" s="9"/>
      <c r="P103" s="10"/>
      <c r="Q103" s="10"/>
      <c r="R103" s="5"/>
      <c r="S103" s="6"/>
      <c r="T103" s="6"/>
      <c r="U103" s="178"/>
      <c r="V103" s="9"/>
      <c r="W103" s="10"/>
      <c r="X103" s="10"/>
      <c r="AA103" s="129"/>
      <c r="AB103" s="130" t="s">
        <v>127</v>
      </c>
      <c r="AC103" s="129"/>
      <c r="AD103" s="129"/>
      <c r="AE103" s="129"/>
      <c r="AF103" s="129"/>
      <c r="AG103" s="130" t="s">
        <v>127</v>
      </c>
      <c r="AH103" s="129"/>
      <c r="AI103" s="129"/>
      <c r="AJ103" s="129"/>
      <c r="AK103" s="152"/>
      <c r="AU103" s="129"/>
      <c r="AV103" s="130" t="str">
        <f>AB103</f>
        <v>3) Allowable Stress = 53.3 ksi for Riser Joints</v>
      </c>
      <c r="AW103" s="129"/>
      <c r="AX103" s="129"/>
      <c r="AY103" s="129"/>
      <c r="AZ103" s="124"/>
      <c r="BA103" s="220" t="s">
        <v>45</v>
      </c>
      <c r="BB103" s="220"/>
      <c r="BC103" s="220"/>
      <c r="BD103" s="220"/>
      <c r="BE103" s="220"/>
      <c r="BF103" s="220"/>
      <c r="BG103" s="197"/>
      <c r="CF103" s="114">
        <v>-1.2000000000000002</v>
      </c>
      <c r="CG103" s="47">
        <v>6.8</v>
      </c>
      <c r="CH103" s="47">
        <v>6.8</v>
      </c>
    </row>
    <row r="104" spans="1:86" ht="18" customHeight="1" thickBot="1" x14ac:dyDescent="0.25">
      <c r="A104" s="85"/>
      <c r="B104" s="39">
        <v>868</v>
      </c>
      <c r="C104" s="53">
        <v>644.928</v>
      </c>
      <c r="D104" s="54">
        <v>785.95689999999991</v>
      </c>
      <c r="E104" s="55">
        <v>127.167</v>
      </c>
      <c r="F104" s="56">
        <v>97.481999999999999</v>
      </c>
      <c r="G104" s="57">
        <v>6.29</v>
      </c>
      <c r="H104" s="58">
        <v>6.36</v>
      </c>
      <c r="I104" s="57">
        <v>2.99</v>
      </c>
      <c r="J104" s="58">
        <v>7</v>
      </c>
      <c r="K104" s="59">
        <v>15.491</v>
      </c>
      <c r="L104" s="59">
        <v>4.7064516129032254</v>
      </c>
      <c r="M104" s="59">
        <v>-17.94999990463257</v>
      </c>
      <c r="N104" s="185"/>
      <c r="O104" s="3"/>
      <c r="P104" s="3"/>
      <c r="Q104" s="3"/>
      <c r="R104" s="4"/>
      <c r="S104" s="4"/>
      <c r="T104" s="4"/>
      <c r="U104" s="178"/>
      <c r="V104" s="3"/>
      <c r="W104" s="3"/>
      <c r="X104" s="3"/>
      <c r="AA104" s="79"/>
      <c r="AB104" s="130" t="s">
        <v>128</v>
      </c>
      <c r="AC104" s="129"/>
      <c r="AD104" s="129"/>
      <c r="AE104" s="129"/>
      <c r="AF104" s="129"/>
      <c r="AG104" s="130" t="s">
        <v>128</v>
      </c>
      <c r="AH104" s="130"/>
      <c r="AI104" s="130"/>
      <c r="AJ104" s="130"/>
      <c r="AK104" s="152"/>
      <c r="AU104" s="124"/>
      <c r="AV104" s="130" t="str">
        <f>"4) "&amp;BF6&amp;" x "&amp;BD7&amp;" kips Tensioner Down"</f>
        <v>4) 1 x 208.333333333333 kips Tensioner Down</v>
      </c>
      <c r="AW104" s="124"/>
      <c r="AX104" s="124"/>
      <c r="AY104" s="124"/>
      <c r="AZ104" s="124"/>
      <c r="BA104" s="220"/>
      <c r="BB104" s="220"/>
      <c r="BC104" s="220"/>
      <c r="BD104" s="220"/>
      <c r="BE104" s="220"/>
      <c r="BF104" s="220"/>
      <c r="BG104" s="197"/>
      <c r="CF104" s="113">
        <v>-1.0199999999999996</v>
      </c>
      <c r="CG104" s="46">
        <v>7</v>
      </c>
      <c r="CH104" s="46">
        <v>7</v>
      </c>
    </row>
    <row r="105" spans="1:86" x14ac:dyDescent="0.2">
      <c r="A105" s="66"/>
      <c r="B105" s="61"/>
      <c r="C105" s="61"/>
      <c r="D105" s="31"/>
      <c r="E105" s="31"/>
      <c r="F105" s="31"/>
      <c r="G105" s="31"/>
      <c r="H105" s="31"/>
      <c r="I105" s="31"/>
      <c r="J105" s="15"/>
      <c r="K105" s="14"/>
      <c r="L105" s="14"/>
      <c r="M105" s="14"/>
      <c r="N105" s="15"/>
      <c r="O105" s="3"/>
      <c r="P105" s="3"/>
      <c r="AG105" s="130"/>
      <c r="AH105" s="130"/>
      <c r="AI105" s="130"/>
      <c r="AJ105" s="130"/>
    </row>
    <row r="106" spans="1:86" x14ac:dyDescent="0.2">
      <c r="A106" s="66"/>
      <c r="B106" s="61"/>
      <c r="C106" s="61"/>
      <c r="D106" s="31"/>
      <c r="E106" s="31"/>
      <c r="F106" s="31"/>
      <c r="G106" s="31"/>
      <c r="H106" s="31"/>
      <c r="I106" s="31"/>
      <c r="J106" s="15"/>
      <c r="K106" s="14"/>
      <c r="L106" s="14"/>
      <c r="M106" s="14"/>
      <c r="N106" s="15"/>
      <c r="O106" s="3"/>
      <c r="P106" s="3"/>
      <c r="Q106" s="3"/>
      <c r="R106" s="4"/>
      <c r="S106" s="4"/>
      <c r="T106" s="4"/>
      <c r="U106" s="4"/>
      <c r="V106" s="3"/>
      <c r="W106" s="3"/>
      <c r="X106" s="3"/>
    </row>
    <row r="107" spans="1:86" x14ac:dyDescent="0.2">
      <c r="A107" s="67"/>
      <c r="B107" s="15"/>
      <c r="C107" s="15"/>
      <c r="D107" s="15"/>
      <c r="E107" s="15"/>
      <c r="F107" s="15"/>
      <c r="G107" s="15"/>
      <c r="H107" s="15"/>
      <c r="I107" s="15"/>
      <c r="J107" s="15"/>
      <c r="K107" s="13"/>
      <c r="L107" s="13"/>
      <c r="M107" s="14"/>
      <c r="N107" s="15"/>
      <c r="O107" s="3"/>
      <c r="P107" s="3"/>
      <c r="Q107" s="3"/>
      <c r="R107" s="4"/>
      <c r="S107" s="4"/>
      <c r="T107" s="4"/>
      <c r="U107" s="4"/>
      <c r="V107" s="3"/>
      <c r="W107" s="3"/>
      <c r="X107" s="3"/>
    </row>
    <row r="108" spans="1:86" x14ac:dyDescent="0.2">
      <c r="A108" s="68"/>
      <c r="B108" s="16"/>
      <c r="C108" s="16"/>
      <c r="D108" s="15"/>
      <c r="E108" s="15"/>
      <c r="F108" s="15"/>
      <c r="G108" s="15"/>
      <c r="H108" s="15"/>
      <c r="I108" s="15"/>
      <c r="J108" s="16"/>
      <c r="K108" s="13"/>
      <c r="L108" s="13"/>
      <c r="M108" s="14"/>
      <c r="N108" s="15"/>
      <c r="O108" s="9"/>
      <c r="P108" s="10"/>
      <c r="Q108" s="10"/>
      <c r="R108" s="8"/>
      <c r="S108" s="8"/>
      <c r="T108" s="8"/>
      <c r="U108" s="8"/>
      <c r="V108" s="9"/>
      <c r="W108" s="10"/>
      <c r="X108" s="10"/>
    </row>
    <row r="109" spans="1:86" x14ac:dyDescent="0.2">
      <c r="A109" s="68"/>
      <c r="B109" s="16"/>
      <c r="C109" s="16"/>
      <c r="D109" s="15"/>
      <c r="E109" s="15"/>
      <c r="F109" s="15"/>
      <c r="G109" s="15"/>
      <c r="H109" s="15"/>
      <c r="I109" s="15"/>
      <c r="J109" s="16"/>
      <c r="K109" s="14"/>
      <c r="L109" s="14"/>
      <c r="M109" s="14"/>
      <c r="N109" s="15"/>
      <c r="O109" s="9"/>
      <c r="P109" s="10"/>
      <c r="Q109" s="10"/>
      <c r="R109" s="5"/>
      <c r="S109" s="6"/>
      <c r="T109" s="6"/>
      <c r="U109" s="6"/>
      <c r="V109" s="9"/>
      <c r="W109" s="10"/>
      <c r="X109" s="10"/>
    </row>
    <row r="110" spans="1:86" ht="12.75" x14ac:dyDescent="0.2">
      <c r="A110" s="72" t="s">
        <v>20</v>
      </c>
      <c r="B110" s="73" t="s">
        <v>18</v>
      </c>
      <c r="C110" s="72"/>
      <c r="D110" s="72"/>
      <c r="E110" s="74" t="s">
        <v>19</v>
      </c>
      <c r="F110" s="72" t="s">
        <v>21</v>
      </c>
      <c r="G110" s="73" t="s">
        <v>18</v>
      </c>
      <c r="H110" s="72"/>
      <c r="I110" s="72"/>
      <c r="J110" s="15" t="s">
        <v>19</v>
      </c>
      <c r="N110" s="15"/>
      <c r="O110" s="9"/>
      <c r="P110" s="10"/>
      <c r="Q110" s="10"/>
      <c r="R110" s="5"/>
      <c r="S110" s="6"/>
      <c r="T110" s="6"/>
      <c r="U110" s="6"/>
      <c r="V110" s="9"/>
      <c r="W110" s="10"/>
      <c r="X110" s="10"/>
    </row>
    <row r="111" spans="1:86" ht="12.75" x14ac:dyDescent="0.2">
      <c r="A111" s="74">
        <f>G35</f>
        <v>-1.41</v>
      </c>
      <c r="B111" s="74">
        <f>B104</f>
        <v>868</v>
      </c>
      <c r="D111" s="75"/>
      <c r="E111" s="74">
        <f>I35</f>
        <v>-4.0999999999999996</v>
      </c>
      <c r="F111" s="74">
        <f>G53</f>
        <v>0.79</v>
      </c>
      <c r="G111" s="74">
        <f>B111</f>
        <v>868</v>
      </c>
      <c r="I111" s="75"/>
      <c r="J111" s="74">
        <f>I53</f>
        <v>-2.0699999999999998</v>
      </c>
      <c r="N111" s="19"/>
      <c r="P111" s="1">
        <f>B9</f>
        <v>340</v>
      </c>
      <c r="Q111" s="1">
        <f>B10</f>
        <v>406</v>
      </c>
      <c r="R111" s="1">
        <f>B11</f>
        <v>472</v>
      </c>
      <c r="S111" s="1">
        <f>B12</f>
        <v>538</v>
      </c>
      <c r="T111" s="1">
        <f>B13</f>
        <v>604</v>
      </c>
      <c r="U111" s="1">
        <f>B14</f>
        <v>670</v>
      </c>
      <c r="V111" s="1">
        <f>B15</f>
        <v>736</v>
      </c>
      <c r="W111" s="1">
        <f>B16</f>
        <v>802</v>
      </c>
      <c r="X111" s="1">
        <f>B17</f>
        <v>868</v>
      </c>
    </row>
    <row r="112" spans="1:86" ht="12.75" x14ac:dyDescent="0.2">
      <c r="A112" s="74"/>
      <c r="B112" s="74"/>
      <c r="C112" s="75">
        <v>1</v>
      </c>
      <c r="D112" s="76">
        <f>B113-(B113-B111)*((A113-C112)/(A113-A111))</f>
        <v>-1783.0000000000073</v>
      </c>
      <c r="E112" s="74"/>
      <c r="F112" s="74"/>
      <c r="G112" s="74"/>
      <c r="H112" s="75">
        <v>1</v>
      </c>
      <c r="I112" s="76">
        <f>G113-(G113-G111)*((F113-H112)/(F113-F111))</f>
        <v>694.75</v>
      </c>
      <c r="J112" s="74"/>
      <c r="N112" s="19"/>
      <c r="O112" s="63">
        <f>A9</f>
        <v>-8</v>
      </c>
      <c r="P112" s="63">
        <f>M9</f>
        <v>-15.219999904632568</v>
      </c>
      <c r="Q112" s="63">
        <f>M10</f>
        <v>-14.509999904632569</v>
      </c>
      <c r="R112" s="63">
        <f>M11</f>
        <v>-14.019999904632568</v>
      </c>
      <c r="S112" s="63">
        <f>M12</f>
        <v>-13.629999904632569</v>
      </c>
      <c r="T112" s="63">
        <f>M13</f>
        <v>-13.309999904632569</v>
      </c>
      <c r="U112" s="63">
        <f>M14</f>
        <v>-13.029999904632568</v>
      </c>
      <c r="V112" s="63">
        <f>M15</f>
        <v>-12.759999904632569</v>
      </c>
      <c r="W112" s="63">
        <f>M16</f>
        <v>-12.519999904632568</v>
      </c>
      <c r="X112" s="63">
        <f>M17</f>
        <v>-12.279999904632568</v>
      </c>
    </row>
    <row r="113" spans="1:28" ht="12.75" x14ac:dyDescent="0.2">
      <c r="A113" s="74">
        <f>G34</f>
        <v>-1.35</v>
      </c>
      <c r="B113" s="74">
        <f>B103</f>
        <v>802</v>
      </c>
      <c r="C113" s="74"/>
      <c r="D113" s="77"/>
      <c r="E113" s="74">
        <f>I34</f>
        <v>-4.25</v>
      </c>
      <c r="F113" s="74">
        <f>G52</f>
        <v>0.87</v>
      </c>
      <c r="G113" s="74">
        <f>B113</f>
        <v>802</v>
      </c>
      <c r="H113" s="74"/>
      <c r="I113" s="77"/>
      <c r="J113" s="74">
        <f>I52</f>
        <v>-2.23</v>
      </c>
      <c r="N113" s="31"/>
      <c r="O113" s="64">
        <f>A18</f>
        <v>-6</v>
      </c>
      <c r="P113" s="63">
        <f>M18</f>
        <v>-11.919999904632569</v>
      </c>
      <c r="Q113" s="63">
        <f>M19</f>
        <v>-11.209999904632568</v>
      </c>
      <c r="R113" s="63">
        <f>M20</f>
        <v>-10.719999904632569</v>
      </c>
      <c r="S113" s="63">
        <f>M21</f>
        <v>-10.339999904632569</v>
      </c>
      <c r="T113" s="63">
        <f>M22</f>
        <v>-10.019999904632568</v>
      </c>
      <c r="U113" s="63">
        <f>M23</f>
        <v>-9.7299999046325674</v>
      </c>
      <c r="V113" s="63">
        <f>M24</f>
        <v>-9.4699999046325694</v>
      </c>
      <c r="W113" s="63">
        <f>M25</f>
        <v>-9.2199999046325694</v>
      </c>
      <c r="X113" s="63">
        <f>M26</f>
        <v>-8.9899999046325689</v>
      </c>
      <c r="AA113"/>
      <c r="AB113"/>
    </row>
    <row r="114" spans="1:28" ht="12.75" x14ac:dyDescent="0.2">
      <c r="A114" s="74"/>
      <c r="B114" s="74"/>
      <c r="C114" s="75">
        <v>1</v>
      </c>
      <c r="D114" s="76">
        <f>B115-(B115-B113)*((A115-C114)/(A115-A113))</f>
        <v>-1136.7499999999984</v>
      </c>
      <c r="E114" s="74"/>
      <c r="F114" s="74"/>
      <c r="G114" s="74"/>
      <c r="H114" s="75">
        <v>1</v>
      </c>
      <c r="I114" s="76">
        <f>G115-(G115-G113)*((F115-H114)/(F115-F113))</f>
        <v>694.75</v>
      </c>
      <c r="J114" s="74"/>
      <c r="N114" s="31"/>
      <c r="O114" s="64">
        <f>A27</f>
        <v>-4</v>
      </c>
      <c r="P114" s="63">
        <f>M27</f>
        <v>-9.5999999046325684</v>
      </c>
      <c r="Q114" s="63">
        <f>M28</f>
        <v>-8.8999999046325691</v>
      </c>
      <c r="R114" s="63">
        <f>M29</f>
        <v>-8.4099999046325689</v>
      </c>
      <c r="S114" s="63">
        <f>M30</f>
        <v>-8.0199999046325683</v>
      </c>
      <c r="T114" s="63">
        <f>M31</f>
        <v>-7.699999904632568</v>
      </c>
      <c r="U114" s="63">
        <f>M32</f>
        <v>-7.4199999046325686</v>
      </c>
      <c r="V114" s="63">
        <f>M33</f>
        <v>-7.159999904632568</v>
      </c>
      <c r="W114" s="63">
        <f>M34</f>
        <v>-6.909999904632568</v>
      </c>
      <c r="X114" s="63">
        <f>M35</f>
        <v>-6.6799999046325684</v>
      </c>
      <c r="AA114"/>
      <c r="AB114"/>
    </row>
    <row r="115" spans="1:28" ht="12.75" x14ac:dyDescent="0.2">
      <c r="A115" s="74">
        <f>G33</f>
        <v>-1.27</v>
      </c>
      <c r="B115" s="74">
        <f>B102</f>
        <v>736</v>
      </c>
      <c r="C115" s="74"/>
      <c r="D115" s="77"/>
      <c r="E115" s="74">
        <f>I33</f>
        <v>-4.43</v>
      </c>
      <c r="F115" s="74">
        <f>G51</f>
        <v>0.95</v>
      </c>
      <c r="G115" s="74">
        <f>B115</f>
        <v>736</v>
      </c>
      <c r="H115" s="74"/>
      <c r="I115" s="77"/>
      <c r="J115" s="74">
        <f>I51</f>
        <v>-2.42</v>
      </c>
      <c r="N115" s="31"/>
      <c r="O115" s="64">
        <f>A36</f>
        <v>-2</v>
      </c>
      <c r="P115" s="63">
        <f>M36</f>
        <v>-8.2699999046325683</v>
      </c>
      <c r="Q115" s="63">
        <f>M37</f>
        <v>-7.5599999046325683</v>
      </c>
      <c r="R115" s="63">
        <f>M38</f>
        <v>-7.0699999046325681</v>
      </c>
      <c r="S115" s="63">
        <f>M39</f>
        <v>-6.6899999046325682</v>
      </c>
      <c r="T115" s="63">
        <f>M40</f>
        <v>-6.3699999046325679</v>
      </c>
      <c r="U115" s="63">
        <f>M41</f>
        <v>-6.0899999046325686</v>
      </c>
      <c r="V115" s="63">
        <f>M42</f>
        <v>-5.8299999046325688</v>
      </c>
      <c r="W115" s="63">
        <f>M43</f>
        <v>-5.5799999046325688</v>
      </c>
      <c r="X115" s="63">
        <f>M44</f>
        <v>-5.3399999046325686</v>
      </c>
      <c r="AA115"/>
      <c r="AB115"/>
    </row>
    <row r="116" spans="1:28" ht="12.75" x14ac:dyDescent="0.2">
      <c r="A116" s="74"/>
      <c r="B116" s="74"/>
      <c r="C116" s="75">
        <v>1</v>
      </c>
      <c r="D116" s="76">
        <f>B117-(B117-B115)*((A117-C116)/(A117-A115))</f>
        <v>-928.66666666666492</v>
      </c>
      <c r="E116" s="74"/>
      <c r="F116" s="74"/>
      <c r="G116" s="74"/>
      <c r="H116" s="75">
        <v>2</v>
      </c>
      <c r="I116" s="76">
        <f>G117-(G117-G115)*((F117-H116)/(F117-F115))</f>
        <v>43.000000000000568</v>
      </c>
      <c r="J116" s="74"/>
      <c r="N116" s="31"/>
      <c r="O116" s="64">
        <f>A45</f>
        <v>0</v>
      </c>
      <c r="P116" s="63">
        <f>M45</f>
        <v>-7.9199999046325686</v>
      </c>
      <c r="Q116" s="63">
        <f>M46</f>
        <v>-7.2199999046325685</v>
      </c>
      <c r="R116" s="63">
        <f>M47</f>
        <v>-6.7199999046325685</v>
      </c>
      <c r="S116" s="63">
        <f>M48</f>
        <v>-6.3399999046325686</v>
      </c>
      <c r="T116" s="63">
        <f>M49</f>
        <v>-6.0199999046325683</v>
      </c>
      <c r="U116" s="63">
        <f>M50</f>
        <v>-5.739999904632568</v>
      </c>
      <c r="V116" s="63">
        <f>M51</f>
        <v>-5.4699999046325685</v>
      </c>
      <c r="W116" s="63">
        <f>M52</f>
        <v>-5.2299999046325683</v>
      </c>
      <c r="X116" s="63">
        <f>M53</f>
        <v>-4.9899999046325689</v>
      </c>
    </row>
    <row r="117" spans="1:28" ht="12.75" x14ac:dyDescent="0.2">
      <c r="A117" s="74">
        <f>G32</f>
        <v>-1.18</v>
      </c>
      <c r="B117" s="74">
        <f>B101</f>
        <v>670</v>
      </c>
      <c r="C117" s="74"/>
      <c r="D117" s="77"/>
      <c r="E117" s="74">
        <f>I32</f>
        <v>-4.6399999999999997</v>
      </c>
      <c r="F117" s="74">
        <f>G50</f>
        <v>1.05</v>
      </c>
      <c r="G117" s="74">
        <f>B117</f>
        <v>670</v>
      </c>
      <c r="H117" s="74"/>
      <c r="I117" s="77"/>
      <c r="J117" s="74">
        <f>I50</f>
        <v>-2.65</v>
      </c>
      <c r="N117" s="31"/>
      <c r="O117" s="64">
        <f>A60</f>
        <v>2</v>
      </c>
      <c r="P117" s="63">
        <f>M60</f>
        <v>-8.5599999046325692</v>
      </c>
      <c r="Q117" s="63">
        <f>M61</f>
        <v>-7.8499999046325684</v>
      </c>
      <c r="R117" s="63">
        <f>M62</f>
        <v>-7.3599999046325681</v>
      </c>
      <c r="S117" s="63">
        <f>M63</f>
        <v>-6.9699999046325685</v>
      </c>
      <c r="T117" s="63">
        <f>M64</f>
        <v>-6.6499999046325682</v>
      </c>
      <c r="U117" s="63">
        <f>M65</f>
        <v>-6.3699999046325679</v>
      </c>
      <c r="V117" s="63">
        <f>M66</f>
        <v>-6.0999999046325684</v>
      </c>
      <c r="W117" s="63">
        <f>M67</f>
        <v>-5.8599999046325681</v>
      </c>
      <c r="X117" s="63">
        <f>M68</f>
        <v>-5.6199999046325679</v>
      </c>
    </row>
    <row r="118" spans="1:28" ht="12.75" x14ac:dyDescent="0.2">
      <c r="A118" s="74"/>
      <c r="B118" s="74"/>
      <c r="C118" s="75">
        <v>1</v>
      </c>
      <c r="D118" s="76">
        <f>B119-(B119-B117)*((A119-C118)/(A119-A117))</f>
        <v>-638.00000000000159</v>
      </c>
      <c r="E118" s="74"/>
      <c r="F118" s="74"/>
      <c r="G118" s="74"/>
      <c r="H118" s="75">
        <v>1</v>
      </c>
      <c r="I118" s="76">
        <f>G119-(G119-G117)*((F119-H118)/(F119-F117))</f>
        <v>695.38461538461547</v>
      </c>
      <c r="J118" s="74"/>
      <c r="N118" s="31"/>
      <c r="O118" s="64">
        <f>A69</f>
        <v>4</v>
      </c>
      <c r="P118" s="63">
        <f>M69</f>
        <v>-10.179999904632568</v>
      </c>
      <c r="Q118" s="63">
        <f>M70</f>
        <v>-9.4699999046325694</v>
      </c>
      <c r="R118" s="63">
        <f>M71</f>
        <v>-8.9699999046325694</v>
      </c>
      <c r="S118" s="63">
        <f>M72</f>
        <v>-8.5899999046325686</v>
      </c>
      <c r="T118" s="63">
        <f>M73</f>
        <v>-8.2599999046325685</v>
      </c>
      <c r="U118" s="63">
        <f>M74</f>
        <v>-7.9799999046325683</v>
      </c>
      <c r="V118" s="63">
        <f>M75</f>
        <v>-7.7199999046325685</v>
      </c>
      <c r="W118" s="63">
        <f>M76</f>
        <v>-7.4699999046325685</v>
      </c>
      <c r="X118" s="63">
        <f>M77</f>
        <v>-7.2299999046325683</v>
      </c>
    </row>
    <row r="119" spans="1:28" ht="12.75" x14ac:dyDescent="0.2">
      <c r="A119" s="74">
        <f>G31</f>
        <v>-1.07</v>
      </c>
      <c r="B119" s="74">
        <f>B100</f>
        <v>604</v>
      </c>
      <c r="C119" s="74"/>
      <c r="D119" s="77"/>
      <c r="E119" s="74">
        <f>I31</f>
        <v>-4.8899999999999997</v>
      </c>
      <c r="F119" s="74">
        <f>G49</f>
        <v>1.18</v>
      </c>
      <c r="G119" s="74">
        <f>B119</f>
        <v>604</v>
      </c>
      <c r="H119" s="74"/>
      <c r="I119" s="77"/>
      <c r="J119" s="74">
        <f>I49</f>
        <v>-2.92</v>
      </c>
      <c r="N119" s="31"/>
      <c r="O119" s="64">
        <f>A78</f>
        <v>6</v>
      </c>
      <c r="P119" s="63">
        <f>M78</f>
        <v>-12.779999904632568</v>
      </c>
      <c r="Q119" s="63">
        <f>M79</f>
        <v>-12.069999904632567</v>
      </c>
      <c r="R119" s="63">
        <f>M80</f>
        <v>-11.569999904632567</v>
      </c>
      <c r="S119" s="63">
        <f>M81</f>
        <v>-11.179999904632568</v>
      </c>
      <c r="T119" s="63">
        <f>M82</f>
        <v>-10.859999904632568</v>
      </c>
      <c r="U119" s="63">
        <f>M83</f>
        <v>-10.569999904632569</v>
      </c>
      <c r="V119" s="63">
        <f>M84</f>
        <v>-10.309999904632569</v>
      </c>
      <c r="W119" s="63">
        <f>M85</f>
        <v>-10.059999904632569</v>
      </c>
      <c r="X119" s="63">
        <f>M86</f>
        <v>-9.819999904632569</v>
      </c>
    </row>
    <row r="120" spans="1:28" ht="12.75" x14ac:dyDescent="0.2">
      <c r="A120" s="74"/>
      <c r="B120" s="74"/>
      <c r="C120" s="75">
        <v>1</v>
      </c>
      <c r="D120" s="76">
        <f>B121-(B121-B119)*((A121-C120)/(A121-A119))</f>
        <v>-371.85714285714278</v>
      </c>
      <c r="E120" s="74"/>
      <c r="F120" s="74"/>
      <c r="G120" s="74"/>
      <c r="H120" s="75">
        <v>1</v>
      </c>
      <c r="I120" s="76">
        <f>G121-(G121-G119)*((F121-H120)/(F121-F119))</f>
        <v>673.88235294117635</v>
      </c>
      <c r="J120" s="74"/>
      <c r="N120" s="31"/>
      <c r="O120" s="64">
        <f>A87</f>
        <v>8</v>
      </c>
      <c r="P120" s="63">
        <f>M87</f>
        <v>-16.369999904632568</v>
      </c>
      <c r="Q120" s="63">
        <f>M88</f>
        <v>-15.649999904632569</v>
      </c>
      <c r="R120" s="63">
        <f>M89</f>
        <v>-15.149999904632569</v>
      </c>
      <c r="S120" s="63">
        <f>M90</f>
        <v>-14.759999904632569</v>
      </c>
      <c r="T120" s="63">
        <f>M91</f>
        <v>-14.439999904632568</v>
      </c>
      <c r="U120" s="63">
        <f>M92</f>
        <v>-14.149999904632569</v>
      </c>
      <c r="V120" s="63">
        <f>M93</f>
        <v>-13.879999904632569</v>
      </c>
      <c r="W120" s="63">
        <f>M94</f>
        <v>-13.629999904632569</v>
      </c>
      <c r="X120" s="63">
        <f>M95</f>
        <v>-13.399999904632569</v>
      </c>
    </row>
    <row r="121" spans="1:28" ht="12.75" x14ac:dyDescent="0.2">
      <c r="A121" s="74">
        <f>G30</f>
        <v>-0.93</v>
      </c>
      <c r="B121" s="74">
        <f>B99</f>
        <v>538</v>
      </c>
      <c r="C121" s="74"/>
      <c r="D121" s="77"/>
      <c r="E121" s="74">
        <f>I30</f>
        <v>-5.21</v>
      </c>
      <c r="F121" s="74">
        <f>G48</f>
        <v>1.35</v>
      </c>
      <c r="G121" s="74">
        <f>B121</f>
        <v>538</v>
      </c>
      <c r="H121" s="74"/>
      <c r="I121" s="77"/>
      <c r="J121" s="74">
        <f>I48</f>
        <v>-3.26</v>
      </c>
      <c r="N121" s="31"/>
      <c r="O121" s="64">
        <f>A96</f>
        <v>10</v>
      </c>
      <c r="P121" s="63">
        <f>M96</f>
        <v>-20.939999904632568</v>
      </c>
      <c r="Q121" s="63">
        <f>M97</f>
        <v>-20.219999904632566</v>
      </c>
      <c r="R121" s="63">
        <f>M98</f>
        <v>-19.709999904632568</v>
      </c>
      <c r="S121" s="63">
        <f>M99</f>
        <v>-19.319999904632567</v>
      </c>
      <c r="T121" s="63">
        <f>M100</f>
        <v>-18.989999904632569</v>
      </c>
      <c r="U121" s="63">
        <f>M101</f>
        <v>-18.69999990463257</v>
      </c>
      <c r="V121" s="63">
        <f>M102</f>
        <v>-18.439999904632568</v>
      </c>
      <c r="W121" s="63">
        <f>M103</f>
        <v>-18.189999904632568</v>
      </c>
      <c r="X121" s="63">
        <f>M104</f>
        <v>-17.94999990463257</v>
      </c>
    </row>
    <row r="122" spans="1:28" ht="12.75" x14ac:dyDescent="0.2">
      <c r="A122" s="74"/>
      <c r="B122" s="74"/>
      <c r="C122" s="75">
        <v>1</v>
      </c>
      <c r="D122" s="76">
        <f>B123-(B123-B121)*((A123-C122)/(A123-A121))</f>
        <v>-98.89999999999975</v>
      </c>
      <c r="E122" s="74"/>
      <c r="F122" s="74"/>
      <c r="G122" s="74"/>
      <c r="H122" s="75">
        <v>2</v>
      </c>
      <c r="I122" s="76">
        <f>G123-(G123-G121)*((F123-H122)/(F123-F121))</f>
        <v>333.71428571428567</v>
      </c>
      <c r="J122" s="74"/>
      <c r="N122" s="31"/>
      <c r="O122" s="3"/>
      <c r="P122" s="3"/>
    </row>
    <row r="123" spans="1:28" ht="12.75" x14ac:dyDescent="0.2">
      <c r="A123" s="74">
        <f>G29</f>
        <v>-0.73</v>
      </c>
      <c r="B123" s="74">
        <f>B98</f>
        <v>472</v>
      </c>
      <c r="C123" s="75"/>
      <c r="D123" s="76"/>
      <c r="E123" s="74">
        <f>I29</f>
        <v>-5.61</v>
      </c>
      <c r="F123" s="74">
        <f>G47</f>
        <v>1.56</v>
      </c>
      <c r="G123" s="74">
        <f>B123</f>
        <v>472</v>
      </c>
      <c r="H123" s="75"/>
      <c r="I123" s="76"/>
      <c r="J123" s="74">
        <f>I47</f>
        <v>-3.69</v>
      </c>
      <c r="N123" s="31"/>
      <c r="O123" s="3"/>
      <c r="P123" s="3"/>
    </row>
    <row r="124" spans="1:28" ht="12.75" x14ac:dyDescent="0.2">
      <c r="A124" s="74"/>
      <c r="B124" s="74"/>
      <c r="C124" s="75">
        <v>2</v>
      </c>
      <c r="D124" s="76">
        <f>B125-(B125-B123)*((A125-C124)/(A125-A123))</f>
        <v>-220.99999999999989</v>
      </c>
      <c r="E124" s="74"/>
      <c r="F124" s="74"/>
      <c r="G124" s="74"/>
      <c r="H124" s="75">
        <v>2</v>
      </c>
      <c r="I124" s="76">
        <f>G125-(G125-G123)*((F125-H124)/(F125-F123))</f>
        <v>375.20000000000005</v>
      </c>
      <c r="J124" s="74"/>
      <c r="N124" s="31"/>
      <c r="O124" s="3"/>
      <c r="P124" s="3"/>
    </row>
    <row r="125" spans="1:28" ht="12.75" x14ac:dyDescent="0.2">
      <c r="A125" s="74">
        <f>G28</f>
        <v>-0.47</v>
      </c>
      <c r="B125" s="74">
        <f>B97</f>
        <v>406</v>
      </c>
      <c r="C125" s="75"/>
      <c r="D125" s="76"/>
      <c r="E125" s="74">
        <f>I28</f>
        <v>-6.15</v>
      </c>
      <c r="F125" s="74">
        <f>G46</f>
        <v>1.86</v>
      </c>
      <c r="G125" s="74">
        <f>B125</f>
        <v>406</v>
      </c>
      <c r="H125" s="75"/>
      <c r="I125" s="76"/>
      <c r="J125" s="74">
        <f>I46</f>
        <v>-4.25</v>
      </c>
      <c r="N125" s="31"/>
      <c r="O125" s="3"/>
      <c r="P125" s="3"/>
    </row>
    <row r="126" spans="1:28" ht="12.75" x14ac:dyDescent="0.2">
      <c r="A126" s="74"/>
      <c r="B126" s="74"/>
      <c r="C126" s="75">
        <v>2</v>
      </c>
      <c r="D126" s="76">
        <f>B127-(B127-B125)*((A127-C126)/(A127-A125))</f>
        <v>-12.000000000000057</v>
      </c>
      <c r="E126" s="74"/>
      <c r="F126" s="74"/>
      <c r="G126" s="74"/>
      <c r="H126" s="75">
        <v>2</v>
      </c>
      <c r="I126" s="76">
        <f>G127-(G127-G125)*((F127-H126)/(F127-F125))</f>
        <v>385</v>
      </c>
      <c r="J126" s="74"/>
      <c r="N126" s="31"/>
      <c r="O126" s="3"/>
      <c r="P126" s="3"/>
    </row>
    <row r="127" spans="1:28" ht="12.75" x14ac:dyDescent="0.2">
      <c r="A127" s="74">
        <f>G27</f>
        <v>-0.08</v>
      </c>
      <c r="B127" s="74">
        <f>B96</f>
        <v>340</v>
      </c>
      <c r="D127" s="76"/>
      <c r="E127" s="74">
        <f>I27</f>
        <v>-6.89</v>
      </c>
      <c r="F127" s="74">
        <f>G45</f>
        <v>2.2999999999999998</v>
      </c>
      <c r="G127" s="74">
        <f>B127</f>
        <v>340</v>
      </c>
      <c r="I127" s="76"/>
      <c r="J127" s="74">
        <f>I45</f>
        <v>-5.03</v>
      </c>
      <c r="N127" s="31"/>
      <c r="O127" s="3"/>
      <c r="P127" s="3"/>
    </row>
    <row r="128" spans="1:28" x14ac:dyDescent="0.2">
      <c r="A128" s="66"/>
      <c r="B128" s="61"/>
      <c r="C128" s="61"/>
      <c r="D128" s="31"/>
      <c r="E128" s="31"/>
      <c r="F128" s="31"/>
      <c r="G128" s="31"/>
      <c r="H128" s="31"/>
      <c r="I128" s="61"/>
      <c r="J128" s="31"/>
      <c r="M128" s="31"/>
      <c r="N128" s="31"/>
      <c r="O128" s="3"/>
      <c r="P128" s="3"/>
    </row>
    <row r="129" spans="1:16" x14ac:dyDescent="0.2">
      <c r="A129" s="66"/>
      <c r="B129" s="61"/>
      <c r="C129" s="61"/>
      <c r="D129" s="31"/>
      <c r="E129" s="31"/>
      <c r="F129" s="31"/>
      <c r="G129" s="31"/>
      <c r="H129" s="31"/>
      <c r="I129" s="31"/>
      <c r="J129" s="61"/>
      <c r="K129" s="31"/>
      <c r="L129" s="31"/>
      <c r="M129" s="31"/>
      <c r="N129" s="31"/>
      <c r="O129" s="3"/>
      <c r="P129" s="3"/>
    </row>
    <row r="130" spans="1:16" x14ac:dyDescent="0.2">
      <c r="A130" s="66"/>
      <c r="B130" s="61"/>
      <c r="C130" s="61"/>
      <c r="D130" s="31"/>
      <c r="E130" s="31"/>
      <c r="F130" s="31"/>
      <c r="G130" s="31"/>
      <c r="H130" s="31"/>
      <c r="I130" s="31"/>
      <c r="J130" s="61"/>
      <c r="K130" s="14"/>
      <c r="L130" s="14"/>
      <c r="M130" s="14"/>
      <c r="N130" s="31"/>
      <c r="O130" s="3"/>
      <c r="P130" s="3"/>
    </row>
    <row r="131" spans="1:16" x14ac:dyDescent="0.2">
      <c r="A131" s="66"/>
      <c r="B131" s="61"/>
      <c r="C131" s="61"/>
      <c r="D131" s="31"/>
      <c r="E131" s="31"/>
      <c r="F131" s="31"/>
      <c r="G131" s="31"/>
      <c r="H131" s="31"/>
      <c r="I131" s="31"/>
      <c r="J131" s="15"/>
      <c r="K131" s="14"/>
      <c r="L131" s="14"/>
      <c r="M131" s="14"/>
      <c r="N131" s="15"/>
      <c r="O131" s="3"/>
      <c r="P131" s="3"/>
    </row>
    <row r="132" spans="1:16" x14ac:dyDescent="0.2">
      <c r="A132" s="66"/>
      <c r="B132" s="61"/>
      <c r="C132" s="61"/>
      <c r="D132" s="31"/>
      <c r="E132" s="31"/>
      <c r="F132" s="31"/>
      <c r="G132" s="31"/>
      <c r="H132" s="31"/>
      <c r="I132" s="31"/>
      <c r="J132" s="15"/>
      <c r="K132" s="14"/>
      <c r="L132" s="14"/>
      <c r="M132" s="14"/>
      <c r="N132" s="15"/>
      <c r="O132" s="3"/>
      <c r="P132" s="3"/>
    </row>
    <row r="133" spans="1:16" x14ac:dyDescent="0.2">
      <c r="A133" s="66"/>
      <c r="B133" s="61"/>
      <c r="C133" s="61"/>
      <c r="D133" s="31"/>
      <c r="E133" s="31"/>
      <c r="F133" s="31"/>
      <c r="G133" s="31"/>
      <c r="H133" s="31"/>
      <c r="I133" s="31"/>
      <c r="J133" s="15"/>
      <c r="K133" s="14"/>
      <c r="L133" s="14"/>
      <c r="M133" s="14"/>
      <c r="N133" s="15"/>
      <c r="O133" s="3"/>
      <c r="P133" s="3"/>
    </row>
    <row r="134" spans="1:16" x14ac:dyDescent="0.2">
      <c r="A134" s="67"/>
      <c r="B134" s="15"/>
      <c r="C134" s="15"/>
      <c r="D134" s="15"/>
      <c r="E134" s="15"/>
      <c r="F134" s="15"/>
      <c r="G134" s="15"/>
      <c r="H134" s="15"/>
      <c r="I134" s="15"/>
      <c r="J134" s="15"/>
      <c r="K134" s="14"/>
      <c r="L134" s="14"/>
      <c r="M134" s="14"/>
      <c r="N134" s="15"/>
      <c r="O134" s="3"/>
      <c r="P134" s="3"/>
    </row>
    <row r="135" spans="1:16" x14ac:dyDescent="0.2">
      <c r="A135" s="67"/>
      <c r="B135" s="15"/>
      <c r="C135" s="15"/>
      <c r="D135" s="15"/>
      <c r="E135" s="15"/>
      <c r="F135" s="15"/>
      <c r="G135" s="15"/>
      <c r="H135" s="15"/>
      <c r="I135" s="15"/>
      <c r="J135" s="15"/>
      <c r="K135" s="13"/>
      <c r="L135" s="13"/>
      <c r="M135" s="14"/>
      <c r="N135" s="15"/>
      <c r="O135" s="3"/>
      <c r="P135" s="3"/>
    </row>
    <row r="136" spans="1:16" x14ac:dyDescent="0.2">
      <c r="A136" s="68"/>
      <c r="B136" s="16"/>
      <c r="C136" s="16"/>
      <c r="D136" s="15"/>
      <c r="E136" s="15"/>
      <c r="F136" s="15"/>
      <c r="G136" s="15"/>
      <c r="H136" s="15"/>
      <c r="I136" s="15"/>
      <c r="J136" s="16"/>
      <c r="K136" s="13"/>
      <c r="L136" s="13"/>
      <c r="M136" s="14"/>
      <c r="N136" s="15"/>
      <c r="O136" s="3"/>
      <c r="P136" s="3"/>
    </row>
    <row r="137" spans="1:16" x14ac:dyDescent="0.2">
      <c r="A137" s="68"/>
      <c r="B137" s="16"/>
      <c r="C137" s="16"/>
      <c r="D137" s="15"/>
      <c r="E137" s="15"/>
      <c r="F137" s="15"/>
      <c r="G137" s="15"/>
      <c r="H137" s="15"/>
      <c r="I137" s="15"/>
      <c r="J137" s="16"/>
      <c r="K137" s="14"/>
      <c r="L137" s="14"/>
      <c r="M137" s="14"/>
      <c r="N137" s="15"/>
      <c r="O137" s="3"/>
      <c r="P137" s="3"/>
    </row>
    <row r="138" spans="1:16" x14ac:dyDescent="0.2">
      <c r="A138" s="67"/>
      <c r="B138" s="15"/>
      <c r="C138" s="15"/>
      <c r="D138" s="15"/>
      <c r="E138" s="15"/>
      <c r="F138" s="15"/>
      <c r="G138" s="15"/>
      <c r="H138" s="15"/>
      <c r="I138" s="15"/>
      <c r="J138" s="15"/>
      <c r="K138" s="62"/>
      <c r="L138" s="62"/>
      <c r="M138" s="62"/>
      <c r="N138" s="15"/>
      <c r="O138" s="3"/>
      <c r="P138" s="3"/>
    </row>
    <row r="139" spans="1:16" x14ac:dyDescent="0.2">
      <c r="A139" s="69"/>
      <c r="B139" s="19"/>
      <c r="C139" s="19"/>
      <c r="D139" s="19"/>
      <c r="E139" s="19"/>
      <c r="F139" s="19"/>
      <c r="G139" s="19"/>
      <c r="H139" s="19"/>
      <c r="I139" s="19"/>
      <c r="J139" s="19"/>
      <c r="K139" s="62"/>
      <c r="L139" s="62"/>
      <c r="M139" s="62"/>
      <c r="N139" s="19"/>
      <c r="O139" s="3"/>
      <c r="P139" s="3"/>
    </row>
    <row r="140" spans="1:16" x14ac:dyDescent="0.2">
      <c r="A140" s="69"/>
      <c r="B140" s="19"/>
      <c r="C140" s="19"/>
      <c r="D140" s="19"/>
      <c r="E140" s="19"/>
      <c r="F140" s="19"/>
      <c r="G140" s="19"/>
      <c r="H140" s="19"/>
      <c r="I140" s="19"/>
      <c r="J140" s="19"/>
      <c r="K140" s="31"/>
      <c r="L140" s="31"/>
      <c r="M140" s="31"/>
      <c r="N140" s="19"/>
      <c r="O140" s="3"/>
      <c r="P140" s="3"/>
    </row>
    <row r="141" spans="1:16" x14ac:dyDescent="0.2">
      <c r="A141" s="66"/>
      <c r="B141" s="61"/>
      <c r="C141" s="61"/>
      <c r="D141" s="31"/>
      <c r="E141" s="31"/>
      <c r="F141" s="31"/>
      <c r="G141" s="31"/>
      <c r="H141" s="31"/>
      <c r="I141" s="31"/>
      <c r="J141" s="61"/>
      <c r="K141" s="31"/>
      <c r="L141" s="31"/>
      <c r="M141" s="31"/>
      <c r="N141" s="31"/>
      <c r="O141" s="3"/>
      <c r="P141" s="3"/>
    </row>
    <row r="142" spans="1:16" x14ac:dyDescent="0.2">
      <c r="A142" s="66"/>
      <c r="B142" s="61"/>
      <c r="C142" s="61"/>
      <c r="D142" s="31"/>
      <c r="E142" s="31"/>
      <c r="F142" s="31"/>
      <c r="G142" s="31"/>
      <c r="H142" s="31"/>
      <c r="I142" s="31"/>
      <c r="J142" s="61"/>
      <c r="K142" s="31"/>
      <c r="L142" s="31"/>
      <c r="M142" s="31"/>
      <c r="N142" s="31"/>
      <c r="O142" s="3"/>
      <c r="P142" s="3"/>
    </row>
    <row r="143" spans="1:16" x14ac:dyDescent="0.2">
      <c r="A143" s="66"/>
      <c r="B143" s="61"/>
      <c r="C143" s="61"/>
      <c r="D143" s="31"/>
      <c r="E143" s="31"/>
      <c r="F143" s="31"/>
      <c r="G143" s="31"/>
      <c r="H143" s="31"/>
      <c r="I143" s="31"/>
      <c r="J143" s="61"/>
      <c r="K143" s="31"/>
      <c r="L143" s="31"/>
      <c r="M143" s="31"/>
      <c r="N143" s="31"/>
      <c r="O143" s="3"/>
      <c r="P143" s="3"/>
    </row>
    <row r="144" spans="1:16" x14ac:dyDescent="0.2">
      <c r="A144" s="66"/>
      <c r="B144" s="61"/>
      <c r="C144" s="61"/>
      <c r="D144" s="31"/>
      <c r="E144" s="31"/>
      <c r="F144" s="31"/>
      <c r="G144" s="31"/>
      <c r="H144" s="31"/>
      <c r="I144" s="31"/>
      <c r="J144" s="61"/>
      <c r="K144" s="31"/>
      <c r="L144" s="31"/>
      <c r="M144" s="31"/>
      <c r="N144" s="31"/>
      <c r="O144" s="3"/>
      <c r="P144" s="3"/>
    </row>
    <row r="145" spans="1:16" x14ac:dyDescent="0.2">
      <c r="A145" s="61"/>
      <c r="B145" s="61"/>
      <c r="C145" s="61"/>
      <c r="D145" s="31"/>
      <c r="E145" s="31"/>
      <c r="F145" s="31"/>
      <c r="G145" s="31"/>
      <c r="H145" s="31"/>
      <c r="I145" s="31"/>
      <c r="J145" s="61"/>
      <c r="K145" s="31"/>
      <c r="L145" s="31"/>
      <c r="M145" s="31"/>
      <c r="N145" s="31"/>
      <c r="O145" s="3"/>
      <c r="P145" s="3"/>
    </row>
    <row r="146" spans="1:16" x14ac:dyDescent="0.2">
      <c r="A146" s="61"/>
      <c r="B146" s="61"/>
      <c r="C146" s="61"/>
      <c r="D146" s="31"/>
      <c r="E146" s="31"/>
      <c r="F146" s="31"/>
      <c r="G146" s="31"/>
      <c r="H146" s="31"/>
      <c r="I146" s="31"/>
      <c r="J146" s="61"/>
      <c r="K146" s="31"/>
      <c r="L146" s="31"/>
      <c r="M146" s="31"/>
      <c r="N146" s="31"/>
      <c r="O146" s="3"/>
      <c r="P146" s="3"/>
    </row>
    <row r="147" spans="1:16" x14ac:dyDescent="0.2">
      <c r="A147" s="61"/>
      <c r="B147" s="61"/>
      <c r="C147" s="61"/>
      <c r="D147" s="31"/>
      <c r="E147" s="31"/>
      <c r="F147" s="31"/>
      <c r="G147" s="31"/>
      <c r="H147" s="31"/>
      <c r="I147" s="31"/>
      <c r="J147" s="61"/>
      <c r="K147" s="31"/>
      <c r="L147" s="31"/>
      <c r="M147" s="31"/>
      <c r="N147" s="31"/>
      <c r="O147" s="3"/>
      <c r="P147" s="3"/>
    </row>
    <row r="148" spans="1:16" x14ac:dyDescent="0.2">
      <c r="A148" s="61"/>
      <c r="B148" s="61"/>
      <c r="C148" s="61"/>
      <c r="D148" s="31"/>
      <c r="E148" s="31"/>
      <c r="F148" s="31"/>
      <c r="G148" s="31"/>
      <c r="H148" s="31"/>
      <c r="I148" s="31"/>
      <c r="J148" s="61"/>
      <c r="K148" s="31"/>
      <c r="L148" s="31"/>
      <c r="M148" s="31"/>
      <c r="N148" s="31"/>
      <c r="O148" s="3"/>
      <c r="P148" s="3"/>
    </row>
    <row r="149" spans="1:16" x14ac:dyDescent="0.2">
      <c r="A149" s="61"/>
      <c r="B149" s="61"/>
      <c r="C149" s="61"/>
      <c r="D149" s="31"/>
      <c r="E149" s="31"/>
      <c r="F149" s="31"/>
      <c r="G149" s="31"/>
      <c r="H149" s="31"/>
      <c r="I149" s="31"/>
      <c r="J149" s="61"/>
      <c r="K149" s="31"/>
      <c r="L149" s="31"/>
      <c r="M149" s="31"/>
      <c r="N149" s="31"/>
      <c r="O149" s="3"/>
      <c r="P149" s="3"/>
    </row>
    <row r="150" spans="1:16" x14ac:dyDescent="0.2">
      <c r="A150" s="61"/>
      <c r="B150" s="61"/>
      <c r="C150" s="61"/>
      <c r="D150" s="31"/>
      <c r="E150" s="31"/>
      <c r="F150" s="31"/>
      <c r="G150" s="31"/>
      <c r="H150" s="31"/>
      <c r="I150" s="31"/>
      <c r="J150" s="61"/>
      <c r="K150" s="31"/>
      <c r="L150" s="31"/>
      <c r="M150" s="31"/>
      <c r="N150" s="31"/>
      <c r="O150" s="3"/>
      <c r="P150" s="3"/>
    </row>
    <row r="151" spans="1:16" x14ac:dyDescent="0.2">
      <c r="A151" s="61"/>
      <c r="B151" s="61"/>
      <c r="C151" s="61"/>
      <c r="D151" s="31"/>
      <c r="E151" s="31"/>
      <c r="F151" s="31"/>
      <c r="G151" s="31"/>
      <c r="H151" s="31"/>
      <c r="I151" s="31"/>
      <c r="J151" s="61"/>
      <c r="K151" s="31"/>
      <c r="L151" s="31"/>
      <c r="M151" s="31"/>
      <c r="N151" s="31"/>
      <c r="O151" s="3"/>
      <c r="P151" s="3"/>
    </row>
    <row r="152" spans="1:16" x14ac:dyDescent="0.2">
      <c r="A152" s="61"/>
      <c r="B152" s="61"/>
      <c r="C152" s="61"/>
      <c r="D152" s="31"/>
      <c r="E152" s="31"/>
      <c r="F152" s="31"/>
      <c r="G152" s="31"/>
      <c r="H152" s="31"/>
      <c r="I152" s="31"/>
      <c r="J152" s="61"/>
      <c r="K152" s="31"/>
      <c r="L152" s="31"/>
      <c r="M152" s="31"/>
      <c r="N152" s="31"/>
      <c r="O152" s="3"/>
      <c r="P152" s="3"/>
    </row>
    <row r="153" spans="1:16" x14ac:dyDescent="0.2">
      <c r="A153" s="61"/>
      <c r="B153" s="61"/>
      <c r="C153" s="61"/>
      <c r="D153" s="31"/>
      <c r="E153" s="31"/>
      <c r="F153" s="31"/>
      <c r="G153" s="31"/>
      <c r="H153" s="31"/>
      <c r="I153" s="31"/>
      <c r="J153" s="61"/>
      <c r="K153" s="31"/>
      <c r="L153" s="31"/>
      <c r="M153" s="31"/>
      <c r="N153" s="31"/>
      <c r="O153" s="3"/>
      <c r="P153" s="3"/>
    </row>
    <row r="154" spans="1:16" x14ac:dyDescent="0.2">
      <c r="A154" s="61"/>
      <c r="B154" s="61"/>
      <c r="C154" s="61"/>
      <c r="D154" s="31"/>
      <c r="E154" s="31"/>
      <c r="F154" s="31"/>
      <c r="G154" s="31"/>
      <c r="H154" s="31"/>
      <c r="I154" s="31"/>
      <c r="J154" s="61"/>
      <c r="K154" s="31"/>
      <c r="L154" s="31"/>
      <c r="M154" s="31"/>
      <c r="N154" s="31"/>
      <c r="O154" s="3"/>
      <c r="P154" s="3"/>
    </row>
    <row r="155" spans="1:16" x14ac:dyDescent="0.2">
      <c r="A155" s="61"/>
      <c r="B155" s="61"/>
      <c r="C155" s="61"/>
      <c r="D155" s="31"/>
      <c r="E155" s="31"/>
      <c r="F155" s="31"/>
      <c r="G155" s="31"/>
      <c r="H155" s="31"/>
      <c r="I155" s="31"/>
      <c r="J155" s="61"/>
      <c r="K155" s="31"/>
      <c r="L155" s="31"/>
      <c r="M155" s="31"/>
      <c r="N155" s="31"/>
      <c r="O155" s="3"/>
      <c r="P155" s="3"/>
    </row>
    <row r="156" spans="1:16" x14ac:dyDescent="0.2">
      <c r="A156" s="61"/>
      <c r="B156" s="61"/>
      <c r="C156" s="61"/>
      <c r="D156" s="31"/>
      <c r="E156" s="31"/>
      <c r="F156" s="31"/>
      <c r="G156" s="31"/>
      <c r="H156" s="31"/>
      <c r="I156" s="31"/>
      <c r="J156" s="61"/>
      <c r="K156" s="31"/>
      <c r="L156" s="31"/>
      <c r="M156" s="31"/>
      <c r="N156" s="31"/>
      <c r="O156" s="3"/>
      <c r="P156" s="3"/>
    </row>
    <row r="157" spans="1:16" x14ac:dyDescent="0.2">
      <c r="A157" s="61"/>
      <c r="B157" s="61"/>
      <c r="C157" s="61"/>
      <c r="D157" s="31"/>
      <c r="E157" s="31"/>
      <c r="F157" s="31"/>
      <c r="G157" s="31"/>
      <c r="H157" s="31"/>
      <c r="I157" s="31"/>
      <c r="J157" s="61"/>
      <c r="K157" s="31"/>
      <c r="L157" s="31"/>
      <c r="M157" s="31"/>
      <c r="N157" s="31"/>
      <c r="O157" s="3"/>
      <c r="P157" s="3"/>
    </row>
    <row r="158" spans="1:16" x14ac:dyDescent="0.2">
      <c r="A158" s="61"/>
      <c r="B158" s="61"/>
      <c r="C158" s="61"/>
      <c r="D158" s="31"/>
      <c r="E158" s="31"/>
      <c r="F158" s="31"/>
      <c r="G158" s="31"/>
      <c r="H158" s="31"/>
      <c r="I158" s="31"/>
      <c r="J158" s="61"/>
      <c r="K158" s="14"/>
      <c r="L158" s="14"/>
      <c r="M158" s="14"/>
      <c r="N158" s="31"/>
      <c r="O158" s="3"/>
      <c r="P158" s="3"/>
    </row>
    <row r="159" spans="1:16" x14ac:dyDescent="0.2">
      <c r="A159" s="61"/>
      <c r="B159" s="61"/>
      <c r="C159" s="61"/>
      <c r="D159" s="31"/>
      <c r="E159" s="31"/>
      <c r="F159" s="31"/>
      <c r="G159" s="31"/>
      <c r="H159" s="31"/>
      <c r="I159" s="31"/>
      <c r="J159" s="15"/>
      <c r="K159" s="14"/>
      <c r="L159" s="14"/>
      <c r="M159" s="14"/>
      <c r="N159" s="15"/>
      <c r="O159" s="3"/>
      <c r="P159" s="3"/>
    </row>
    <row r="160" spans="1:16" x14ac:dyDescent="0.2">
      <c r="A160" s="61"/>
      <c r="B160" s="61"/>
      <c r="C160" s="61"/>
      <c r="D160" s="31"/>
      <c r="E160" s="31"/>
      <c r="F160" s="31"/>
      <c r="G160" s="31"/>
      <c r="H160" s="31"/>
      <c r="I160" s="31"/>
      <c r="J160" s="15"/>
      <c r="K160" s="14"/>
      <c r="L160" s="14"/>
      <c r="M160" s="14"/>
      <c r="N160" s="15"/>
      <c r="O160" s="3"/>
      <c r="P160" s="3"/>
    </row>
    <row r="161" spans="1:36" x14ac:dyDescent="0.2">
      <c r="A161" s="61"/>
      <c r="B161" s="61"/>
      <c r="C161" s="61"/>
      <c r="D161" s="31"/>
      <c r="E161" s="31"/>
      <c r="F161" s="31"/>
      <c r="G161" s="31"/>
      <c r="H161" s="31"/>
      <c r="I161" s="31"/>
      <c r="J161" s="15"/>
      <c r="K161" s="14"/>
      <c r="L161" s="14"/>
      <c r="M161" s="14"/>
      <c r="N161" s="15"/>
      <c r="O161" s="3"/>
      <c r="P161" s="3"/>
    </row>
    <row r="162" spans="1:36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3"/>
      <c r="L162" s="13"/>
      <c r="M162" s="14"/>
      <c r="N162" s="15"/>
      <c r="O162" s="3"/>
      <c r="P162" s="3"/>
    </row>
    <row r="163" spans="1:36" x14ac:dyDescent="0.2">
      <c r="A163" s="16"/>
      <c r="B163" s="16"/>
      <c r="C163" s="16"/>
      <c r="D163" s="15"/>
      <c r="E163" s="15"/>
      <c r="F163" s="15"/>
      <c r="G163" s="15"/>
      <c r="H163" s="15"/>
      <c r="I163" s="15"/>
      <c r="J163" s="16"/>
      <c r="K163" s="13"/>
      <c r="L163" s="13"/>
      <c r="M163" s="14"/>
      <c r="N163" s="15"/>
      <c r="O163" s="3"/>
      <c r="P163" s="3"/>
    </row>
    <row r="164" spans="1:36" x14ac:dyDescent="0.2">
      <c r="A164" s="16"/>
      <c r="B164" s="16"/>
      <c r="C164" s="16"/>
      <c r="D164" s="15"/>
      <c r="E164" s="15"/>
      <c r="F164" s="15"/>
      <c r="G164" s="15"/>
      <c r="H164" s="15"/>
      <c r="I164" s="15"/>
      <c r="J164" s="16"/>
      <c r="K164" s="14"/>
      <c r="L164" s="14"/>
      <c r="M164" s="14"/>
      <c r="N164" s="15"/>
      <c r="O164" s="3"/>
      <c r="P164" s="3"/>
    </row>
    <row r="165" spans="1:36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62"/>
      <c r="L165" s="62"/>
      <c r="M165" s="62"/>
      <c r="N165" s="15"/>
      <c r="O165" s="3"/>
      <c r="P165" s="3"/>
    </row>
    <row r="166" spans="1:36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62"/>
      <c r="L166" s="62"/>
      <c r="M166" s="62"/>
      <c r="N166" s="19"/>
      <c r="O166" s="3"/>
      <c r="P166" s="3"/>
    </row>
    <row r="167" spans="1:36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31"/>
      <c r="L167" s="31"/>
      <c r="M167" s="31"/>
      <c r="N167" s="19"/>
      <c r="O167" s="3"/>
      <c r="P167" s="3"/>
    </row>
    <row r="168" spans="1:36" x14ac:dyDescent="0.2">
      <c r="A168" s="61"/>
      <c r="B168" s="61"/>
      <c r="C168" s="61"/>
      <c r="D168" s="31"/>
      <c r="E168" s="31"/>
      <c r="F168" s="31"/>
      <c r="G168" s="31"/>
      <c r="H168" s="31"/>
      <c r="I168" s="31"/>
      <c r="J168" s="61"/>
      <c r="K168" s="31"/>
      <c r="L168" s="31"/>
      <c r="M168" s="31"/>
      <c r="N168" s="31"/>
      <c r="O168" s="3"/>
      <c r="P168" s="3"/>
    </row>
    <row r="169" spans="1:36" x14ac:dyDescent="0.2">
      <c r="A169" s="61"/>
      <c r="B169" s="61"/>
      <c r="C169" s="61"/>
      <c r="D169" s="31"/>
      <c r="E169" s="31"/>
      <c r="F169" s="31"/>
      <c r="G169" s="31"/>
      <c r="H169" s="31"/>
      <c r="I169" s="31"/>
      <c r="J169" s="61"/>
      <c r="K169" s="31"/>
      <c r="L169" s="31"/>
      <c r="M169" s="31"/>
      <c r="N169" s="31"/>
      <c r="O169" s="3"/>
      <c r="P169" s="3"/>
    </row>
    <row r="170" spans="1:36" x14ac:dyDescent="0.2">
      <c r="A170" s="61"/>
      <c r="B170" s="61"/>
      <c r="C170" s="61"/>
      <c r="D170" s="31"/>
      <c r="E170" s="31"/>
      <c r="F170" s="31"/>
      <c r="G170" s="31"/>
      <c r="H170" s="31"/>
      <c r="I170" s="31"/>
      <c r="J170" s="61"/>
      <c r="K170" s="31"/>
      <c r="L170" s="31"/>
      <c r="M170" s="31"/>
      <c r="N170" s="31"/>
      <c r="O170" s="3"/>
      <c r="P170" s="3"/>
    </row>
    <row r="171" spans="1:36" x14ac:dyDescent="0.2">
      <c r="A171" s="61"/>
      <c r="B171" s="61"/>
      <c r="C171" s="61"/>
      <c r="D171" s="31"/>
      <c r="E171" s="31"/>
      <c r="F171" s="31"/>
      <c r="G171" s="31"/>
      <c r="H171" s="31"/>
      <c r="I171" s="31"/>
      <c r="J171" s="61"/>
      <c r="K171" s="31"/>
      <c r="L171" s="31"/>
      <c r="M171" s="31"/>
      <c r="N171" s="31"/>
      <c r="O171" s="3"/>
      <c r="P171" s="3"/>
    </row>
    <row r="172" spans="1:36" x14ac:dyDescent="0.2">
      <c r="A172" s="61"/>
      <c r="B172" s="61"/>
      <c r="C172" s="61"/>
      <c r="D172" s="31"/>
      <c r="E172" s="31"/>
      <c r="F172" s="31"/>
      <c r="G172" s="31"/>
      <c r="H172" s="31"/>
      <c r="I172" s="31"/>
      <c r="J172" s="61"/>
      <c r="K172" s="31"/>
      <c r="L172" s="31"/>
      <c r="M172" s="31"/>
      <c r="N172" s="31"/>
      <c r="O172" s="3"/>
      <c r="P172" s="3"/>
    </row>
    <row r="173" spans="1:36" x14ac:dyDescent="0.2">
      <c r="A173" s="61"/>
      <c r="B173" s="61"/>
      <c r="C173" s="61"/>
      <c r="D173" s="31"/>
      <c r="E173" s="31"/>
      <c r="F173" s="31"/>
      <c r="G173" s="31"/>
      <c r="H173" s="31"/>
      <c r="I173" s="31"/>
      <c r="J173" s="61"/>
      <c r="K173" s="31"/>
      <c r="L173" s="31"/>
      <c r="M173" s="31"/>
      <c r="N173" s="31"/>
      <c r="O173" s="3"/>
      <c r="P173" s="3"/>
    </row>
    <row r="174" spans="1:36" x14ac:dyDescent="0.2">
      <c r="A174" s="61"/>
      <c r="B174" s="61"/>
      <c r="C174" s="61"/>
      <c r="D174" s="31"/>
      <c r="E174" s="31"/>
      <c r="F174" s="31"/>
      <c r="G174" s="31"/>
      <c r="H174" s="31"/>
      <c r="I174" s="31"/>
      <c r="J174" s="61"/>
      <c r="K174" s="31"/>
      <c r="L174" s="31"/>
      <c r="M174" s="31"/>
      <c r="N174" s="31"/>
      <c r="O174" s="3"/>
      <c r="P174" s="3"/>
    </row>
    <row r="175" spans="1:36" x14ac:dyDescent="0.2">
      <c r="A175" s="61"/>
      <c r="B175" s="61"/>
      <c r="C175" s="61"/>
      <c r="D175" s="31"/>
      <c r="E175" s="31"/>
      <c r="F175" s="31"/>
      <c r="G175" s="31"/>
      <c r="H175" s="31"/>
      <c r="I175" s="31"/>
      <c r="J175" s="61"/>
      <c r="K175" s="31"/>
      <c r="L175" s="31"/>
      <c r="M175" s="31"/>
      <c r="N175" s="31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</row>
    <row r="176" spans="1:36" x14ac:dyDescent="0.2">
      <c r="A176" s="61"/>
      <c r="B176" s="61"/>
      <c r="C176" s="61"/>
      <c r="D176" s="31"/>
      <c r="E176" s="31"/>
      <c r="F176" s="31"/>
      <c r="G176" s="31"/>
      <c r="H176" s="31"/>
      <c r="I176" s="31"/>
      <c r="J176" s="61"/>
      <c r="K176" s="31"/>
      <c r="L176" s="31"/>
      <c r="M176" s="31"/>
      <c r="N176" s="31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</row>
    <row r="177" spans="1:216" x14ac:dyDescent="0.2">
      <c r="A177" s="61"/>
      <c r="B177" s="61"/>
      <c r="C177" s="61"/>
      <c r="D177" s="31"/>
      <c r="E177" s="31"/>
      <c r="F177" s="31"/>
      <c r="G177" s="31"/>
      <c r="H177" s="31"/>
      <c r="I177" s="31"/>
      <c r="J177" s="61"/>
      <c r="K177" s="31"/>
      <c r="L177" s="31"/>
      <c r="M177" s="31"/>
      <c r="N177" s="31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</row>
    <row r="178" spans="1:216" x14ac:dyDescent="0.2">
      <c r="A178" s="61"/>
      <c r="B178" s="61"/>
      <c r="C178" s="61"/>
      <c r="D178" s="31"/>
      <c r="E178" s="31"/>
      <c r="F178" s="31"/>
      <c r="G178" s="31"/>
      <c r="H178" s="31"/>
      <c r="I178" s="31"/>
      <c r="J178" s="61"/>
      <c r="K178" s="31"/>
      <c r="L178" s="31"/>
      <c r="M178" s="31"/>
      <c r="N178" s="31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</row>
    <row r="179" spans="1:216" x14ac:dyDescent="0.2">
      <c r="A179" s="61"/>
      <c r="B179" s="61"/>
      <c r="C179" s="61"/>
      <c r="D179" s="31"/>
      <c r="E179" s="31"/>
      <c r="F179" s="31"/>
      <c r="G179" s="31"/>
      <c r="H179" s="31"/>
      <c r="I179" s="31"/>
      <c r="J179" s="61"/>
      <c r="K179" s="31"/>
      <c r="L179" s="31"/>
      <c r="M179" s="31"/>
      <c r="N179" s="31"/>
      <c r="O179" s="3"/>
      <c r="P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</row>
    <row r="180" spans="1:216" x14ac:dyDescent="0.2">
      <c r="A180" s="61"/>
      <c r="B180" s="61"/>
      <c r="C180" s="61"/>
      <c r="D180" s="31"/>
      <c r="E180" s="31"/>
      <c r="F180" s="31"/>
      <c r="G180" s="31"/>
      <c r="H180" s="31"/>
      <c r="I180" s="31"/>
      <c r="J180" s="61"/>
      <c r="K180" s="31"/>
      <c r="L180" s="31"/>
      <c r="M180" s="31"/>
      <c r="N180" s="31"/>
      <c r="O180" s="3"/>
      <c r="P180" s="3"/>
      <c r="AF180" s="3"/>
      <c r="AG180" s="3"/>
      <c r="AH180" s="3"/>
      <c r="AI180" s="3"/>
      <c r="AJ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</row>
    <row r="181" spans="1:216" x14ac:dyDescent="0.2">
      <c r="A181" s="61"/>
      <c r="B181" s="61"/>
      <c r="C181" s="61"/>
      <c r="D181" s="31"/>
      <c r="E181" s="31"/>
      <c r="F181" s="31"/>
      <c r="G181" s="31"/>
      <c r="H181" s="31"/>
      <c r="I181" s="31"/>
      <c r="J181" s="61"/>
      <c r="K181" s="31"/>
      <c r="L181" s="31"/>
      <c r="M181" s="31"/>
      <c r="N181" s="31"/>
      <c r="O181" s="3"/>
      <c r="P181" s="3"/>
      <c r="AF181" s="3"/>
      <c r="AG181" s="3"/>
      <c r="AH181" s="3"/>
      <c r="AI181" s="3"/>
      <c r="AJ181" s="3"/>
      <c r="EO181" s="3"/>
      <c r="EP181" s="3"/>
      <c r="EQ181" s="2"/>
      <c r="ER181" s="2"/>
      <c r="ES181" s="2"/>
      <c r="ET181" s="2"/>
      <c r="EU181" s="3"/>
      <c r="EV181" s="3"/>
      <c r="EW181" s="3"/>
      <c r="EX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</row>
    <row r="182" spans="1:216" x14ac:dyDescent="0.2">
      <c r="A182" s="61"/>
      <c r="B182" s="61"/>
      <c r="C182" s="61"/>
      <c r="D182" s="31"/>
      <c r="E182" s="31"/>
      <c r="F182" s="31"/>
      <c r="G182" s="31"/>
      <c r="H182" s="31"/>
      <c r="I182" s="31"/>
      <c r="J182" s="61"/>
      <c r="K182" s="31"/>
      <c r="L182" s="31"/>
      <c r="M182" s="31"/>
      <c r="N182" s="31"/>
      <c r="O182" s="3"/>
      <c r="P182" s="3"/>
      <c r="AF182" s="3"/>
      <c r="AG182" s="3"/>
      <c r="AH182" s="3"/>
      <c r="AI182" s="3"/>
      <c r="AJ182" s="3"/>
      <c r="EO182" s="3"/>
      <c r="EP182" s="3"/>
      <c r="EQ182" s="2"/>
      <c r="ER182" s="2"/>
      <c r="ES182" s="2"/>
      <c r="ET182" s="2"/>
      <c r="EU182" s="3"/>
      <c r="EV182" s="3"/>
      <c r="EW182" s="3"/>
      <c r="EX182" s="3"/>
      <c r="GU182" s="2"/>
      <c r="GV182" s="2"/>
      <c r="GW182" s="2"/>
      <c r="GX182" s="2"/>
      <c r="GY182" s="3"/>
      <c r="GZ182" s="3"/>
      <c r="HA182" s="3"/>
      <c r="HB182" s="3"/>
      <c r="HC182" s="2"/>
      <c r="HD182" s="2"/>
      <c r="HE182" s="2"/>
      <c r="HF182" s="2"/>
      <c r="HG182" s="3"/>
      <c r="HH182" s="3"/>
    </row>
    <row r="183" spans="1:216" x14ac:dyDescent="0.2">
      <c r="A183" s="61"/>
      <c r="B183" s="61"/>
      <c r="C183" s="61"/>
      <c r="D183" s="31"/>
      <c r="E183" s="31"/>
      <c r="F183" s="31"/>
      <c r="G183" s="31"/>
      <c r="H183" s="31"/>
      <c r="I183" s="31"/>
      <c r="J183" s="61"/>
      <c r="K183" s="31"/>
      <c r="L183" s="31"/>
      <c r="M183" s="31"/>
      <c r="N183" s="31"/>
      <c r="O183" s="3"/>
      <c r="P183" s="3"/>
      <c r="AF183" s="3"/>
      <c r="AG183" s="3"/>
      <c r="AH183" s="3"/>
      <c r="AI183" s="3"/>
      <c r="AJ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GU183" s="2"/>
      <c r="GV183" s="2"/>
      <c r="GW183" s="2"/>
      <c r="GX183" s="2"/>
      <c r="GY183" s="3"/>
      <c r="GZ183" s="3"/>
      <c r="HA183" s="3"/>
      <c r="HB183" s="3"/>
      <c r="HC183" s="2"/>
      <c r="HD183" s="2"/>
      <c r="HE183" s="2"/>
      <c r="HF183" s="2"/>
      <c r="HG183" s="3"/>
      <c r="HH183" s="3"/>
    </row>
    <row r="184" spans="1:216" x14ac:dyDescent="0.2">
      <c r="A184" s="61"/>
      <c r="B184" s="61"/>
      <c r="C184" s="61"/>
      <c r="D184" s="31"/>
      <c r="E184" s="31"/>
      <c r="F184" s="31"/>
      <c r="G184" s="31"/>
      <c r="H184" s="31"/>
      <c r="I184" s="31"/>
      <c r="J184" s="61"/>
      <c r="K184" s="31"/>
      <c r="L184" s="31"/>
      <c r="M184" s="31"/>
      <c r="N184" s="31"/>
      <c r="O184" s="3"/>
      <c r="P184" s="3"/>
      <c r="AF184" s="3"/>
      <c r="AG184" s="3"/>
      <c r="AH184" s="3"/>
      <c r="AI184" s="3"/>
      <c r="AJ184" s="3"/>
      <c r="EO184" s="4"/>
      <c r="EP184" s="3"/>
      <c r="EQ184" s="4"/>
      <c r="ER184" s="4"/>
      <c r="ES184" s="4"/>
      <c r="ET184" s="4"/>
      <c r="EU184" s="4"/>
      <c r="EV184" s="4"/>
      <c r="EW184" s="4"/>
      <c r="EX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</row>
    <row r="185" spans="1:216" x14ac:dyDescent="0.2">
      <c r="A185" s="61"/>
      <c r="B185" s="61"/>
      <c r="C185" s="61"/>
      <c r="D185" s="31"/>
      <c r="E185" s="31"/>
      <c r="F185" s="31"/>
      <c r="G185" s="31"/>
      <c r="H185" s="31"/>
      <c r="I185" s="31"/>
      <c r="J185" s="61"/>
      <c r="K185" s="14"/>
      <c r="L185" s="14"/>
      <c r="M185" s="14"/>
      <c r="N185" s="31"/>
      <c r="O185" s="3"/>
      <c r="P185" s="3"/>
      <c r="AF185" s="3"/>
      <c r="AG185" s="3"/>
      <c r="AH185" s="3"/>
      <c r="AI185" s="3"/>
      <c r="AJ185" s="3"/>
      <c r="EO185" s="4"/>
      <c r="EP185" s="3"/>
      <c r="EQ185" s="4"/>
      <c r="ER185" s="4"/>
      <c r="ES185" s="4"/>
      <c r="ET185" s="4"/>
      <c r="EU185" s="4"/>
      <c r="EV185" s="4"/>
      <c r="EW185" s="4"/>
      <c r="EX185" s="3"/>
      <c r="GU185" s="4"/>
      <c r="GV185" s="4"/>
      <c r="GW185" s="4"/>
      <c r="GX185" s="4"/>
      <c r="GY185" s="4"/>
      <c r="GZ185" s="4"/>
      <c r="HA185" s="4"/>
      <c r="HB185" s="3"/>
      <c r="HC185" s="4"/>
      <c r="HD185" s="4"/>
      <c r="HE185" s="4"/>
      <c r="HF185" s="4"/>
      <c r="HG185" s="4"/>
      <c r="HH185" s="4"/>
    </row>
    <row r="186" spans="1:216" x14ac:dyDescent="0.2">
      <c r="A186" s="61"/>
      <c r="B186" s="61"/>
      <c r="C186" s="61"/>
      <c r="D186" s="31"/>
      <c r="E186" s="31"/>
      <c r="F186" s="31"/>
      <c r="G186" s="31"/>
      <c r="H186" s="31"/>
      <c r="I186" s="31"/>
      <c r="J186" s="15"/>
      <c r="K186" s="14"/>
      <c r="L186" s="14"/>
      <c r="M186" s="14"/>
      <c r="N186" s="15"/>
      <c r="O186" s="3"/>
      <c r="P186" s="3"/>
      <c r="AF186" s="3"/>
      <c r="AG186" s="3"/>
      <c r="AH186" s="3"/>
      <c r="AI186" s="3"/>
      <c r="AJ186" s="3"/>
      <c r="EO186" s="204"/>
      <c r="EP186" s="3"/>
      <c r="EQ186" s="203"/>
      <c r="ER186" s="5"/>
      <c r="ES186" s="203"/>
      <c r="ET186" s="203"/>
      <c r="EU186" s="6"/>
      <c r="EV186" s="6"/>
      <c r="EW186" s="204"/>
      <c r="EX186" s="3"/>
      <c r="GU186" s="4"/>
      <c r="GV186" s="4"/>
      <c r="GW186" s="4"/>
      <c r="GX186" s="4"/>
      <c r="GY186" s="4"/>
      <c r="GZ186" s="4"/>
      <c r="HA186" s="4"/>
      <c r="HB186" s="3"/>
      <c r="HC186" s="4"/>
      <c r="HD186" s="4"/>
      <c r="HE186" s="4"/>
      <c r="HF186" s="4"/>
      <c r="HG186" s="4"/>
      <c r="HH186" s="4"/>
    </row>
    <row r="187" spans="1:216" x14ac:dyDescent="0.2">
      <c r="A187" s="61"/>
      <c r="B187" s="61"/>
      <c r="C187" s="61"/>
      <c r="D187" s="31"/>
      <c r="E187" s="31"/>
      <c r="F187" s="31"/>
      <c r="G187" s="31"/>
      <c r="H187" s="31"/>
      <c r="I187" s="31"/>
      <c r="J187" s="15"/>
      <c r="K187" s="14"/>
      <c r="L187" s="14"/>
      <c r="M187" s="14"/>
      <c r="N187" s="15"/>
      <c r="O187" s="3"/>
      <c r="P187" s="3"/>
      <c r="AF187" s="3"/>
      <c r="AG187" s="3"/>
      <c r="AH187" s="3"/>
      <c r="AI187" s="3"/>
      <c r="AJ187" s="3"/>
      <c r="EO187" s="204"/>
      <c r="EP187" s="3"/>
      <c r="EQ187" s="203"/>
      <c r="ER187" s="5"/>
      <c r="ES187" s="203"/>
      <c r="ET187" s="203"/>
      <c r="EU187" s="6"/>
      <c r="EV187" s="6"/>
      <c r="EW187" s="204"/>
      <c r="EX187" s="3"/>
      <c r="GU187" s="203"/>
      <c r="GV187" s="5"/>
      <c r="GW187" s="203"/>
      <c r="GX187" s="203"/>
      <c r="GY187" s="6"/>
      <c r="GZ187" s="6"/>
      <c r="HA187" s="204"/>
      <c r="HB187" s="3"/>
      <c r="HC187" s="203"/>
      <c r="HD187" s="5"/>
      <c r="HE187" s="203"/>
      <c r="HF187" s="203"/>
      <c r="HG187" s="6"/>
      <c r="HH187" s="6"/>
    </row>
    <row r="188" spans="1:216" x14ac:dyDescent="0.2">
      <c r="A188" s="61"/>
      <c r="B188" s="61"/>
      <c r="C188" s="61"/>
      <c r="D188" s="31"/>
      <c r="E188" s="31"/>
      <c r="F188" s="31"/>
      <c r="G188" s="31"/>
      <c r="H188" s="31"/>
      <c r="I188" s="31"/>
      <c r="J188" s="15"/>
      <c r="K188" s="14"/>
      <c r="L188" s="14"/>
      <c r="M188" s="14"/>
      <c r="N188" s="15"/>
      <c r="O188" s="3"/>
      <c r="P188" s="3"/>
      <c r="AF188" s="3"/>
      <c r="AG188" s="3"/>
      <c r="AH188" s="3"/>
      <c r="AI188" s="3"/>
      <c r="AJ188" s="3"/>
      <c r="EO188" s="204"/>
      <c r="EP188" s="3"/>
      <c r="EQ188" s="203"/>
      <c r="ER188" s="5"/>
      <c r="ES188" s="203"/>
      <c r="ET188" s="203"/>
      <c r="EU188" s="6"/>
      <c r="EV188" s="6"/>
      <c r="EW188" s="204"/>
      <c r="EX188" s="3"/>
      <c r="GU188" s="203"/>
      <c r="GV188" s="5"/>
      <c r="GW188" s="203"/>
      <c r="GX188" s="203"/>
      <c r="GY188" s="6"/>
      <c r="GZ188" s="6"/>
      <c r="HA188" s="204"/>
      <c r="HB188" s="3"/>
      <c r="HC188" s="203"/>
      <c r="HD188" s="5"/>
      <c r="HE188" s="203"/>
      <c r="HF188" s="203"/>
      <c r="HG188" s="6"/>
      <c r="HH188" s="6"/>
    </row>
    <row r="189" spans="1:216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4"/>
      <c r="L189" s="14"/>
      <c r="M189" s="14"/>
      <c r="N189" s="15"/>
      <c r="O189" s="3"/>
      <c r="P189" s="3"/>
      <c r="AF189" s="3"/>
      <c r="AG189" s="3"/>
      <c r="AH189" s="3"/>
      <c r="AI189" s="3"/>
      <c r="AJ189" s="3"/>
      <c r="EO189" s="204"/>
      <c r="EP189" s="3"/>
      <c r="EQ189" s="203"/>
      <c r="ER189" s="5"/>
      <c r="ES189" s="203"/>
      <c r="ET189" s="203"/>
      <c r="EU189" s="6"/>
      <c r="EV189" s="6"/>
      <c r="EW189" s="204"/>
      <c r="EX189" s="3"/>
      <c r="GU189" s="203"/>
      <c r="GV189" s="5"/>
      <c r="GW189" s="203"/>
      <c r="GX189" s="203"/>
      <c r="GY189" s="6"/>
      <c r="GZ189" s="6"/>
      <c r="HA189" s="204"/>
      <c r="HB189" s="3"/>
      <c r="HC189" s="203"/>
      <c r="HD189" s="5"/>
      <c r="HE189" s="203"/>
      <c r="HF189" s="203"/>
      <c r="HG189" s="6"/>
      <c r="HH189" s="6"/>
    </row>
    <row r="190" spans="1:216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3"/>
      <c r="L190" s="13"/>
      <c r="M190" s="14"/>
      <c r="N190" s="15"/>
      <c r="O190" s="3"/>
      <c r="P190" s="3"/>
      <c r="AF190" s="3"/>
      <c r="AG190" s="3"/>
      <c r="AH190" s="3"/>
      <c r="AI190" s="3"/>
      <c r="AJ190" s="3"/>
      <c r="EO190" s="204"/>
      <c r="EP190" s="3"/>
      <c r="EQ190" s="203"/>
      <c r="ER190" s="5"/>
      <c r="ES190" s="203"/>
      <c r="ET190" s="203"/>
      <c r="EU190" s="6"/>
      <c r="EV190" s="6"/>
      <c r="EW190" s="204"/>
      <c r="EX190" s="3"/>
      <c r="GU190" s="203"/>
      <c r="GV190" s="5"/>
      <c r="GW190" s="203"/>
      <c r="GX190" s="203"/>
      <c r="GY190" s="6"/>
      <c r="GZ190" s="6"/>
      <c r="HA190" s="204"/>
      <c r="HB190" s="3"/>
      <c r="HC190" s="203"/>
      <c r="HD190" s="5"/>
      <c r="HE190" s="203"/>
      <c r="HF190" s="203"/>
      <c r="HG190" s="6"/>
      <c r="HH190" s="6"/>
    </row>
    <row r="191" spans="1:216" x14ac:dyDescent="0.2">
      <c r="A191" s="16"/>
      <c r="B191" s="16"/>
      <c r="C191" s="16"/>
      <c r="D191" s="15"/>
      <c r="E191" s="15"/>
      <c r="F191" s="15"/>
      <c r="G191" s="15"/>
      <c r="H191" s="15"/>
      <c r="I191" s="15"/>
      <c r="J191" s="16"/>
      <c r="K191" s="13"/>
      <c r="L191" s="13"/>
      <c r="M191" s="14"/>
      <c r="N191" s="15"/>
      <c r="O191" s="3"/>
      <c r="P191" s="3"/>
      <c r="AF191" s="3"/>
      <c r="AG191" s="3"/>
      <c r="AH191" s="3"/>
      <c r="AI191" s="3"/>
      <c r="AJ191" s="3"/>
      <c r="EO191" s="204"/>
      <c r="EP191" s="3"/>
      <c r="EQ191" s="203"/>
      <c r="ER191" s="5"/>
      <c r="ES191" s="203"/>
      <c r="ET191" s="203"/>
      <c r="EU191" s="6"/>
      <c r="EV191" s="6"/>
      <c r="EW191" s="204"/>
      <c r="EX191" s="3"/>
      <c r="GU191" s="203"/>
      <c r="GV191" s="5"/>
      <c r="GW191" s="203"/>
      <c r="GX191" s="203"/>
      <c r="GY191" s="6"/>
      <c r="GZ191" s="6"/>
      <c r="HA191" s="204"/>
      <c r="HB191" s="3"/>
      <c r="HC191" s="203"/>
      <c r="HD191" s="5"/>
      <c r="HE191" s="203"/>
      <c r="HF191" s="203"/>
      <c r="HG191" s="6"/>
      <c r="HH191" s="6"/>
    </row>
    <row r="192" spans="1:216" x14ac:dyDescent="0.2">
      <c r="A192" s="16"/>
      <c r="B192" s="16"/>
      <c r="C192" s="16"/>
      <c r="D192" s="15"/>
      <c r="E192" s="15"/>
      <c r="F192" s="15"/>
      <c r="G192" s="15"/>
      <c r="H192" s="15"/>
      <c r="I192" s="15"/>
      <c r="J192" s="16"/>
      <c r="K192" s="14"/>
      <c r="L192" s="14"/>
      <c r="M192" s="14"/>
      <c r="N192" s="15"/>
      <c r="O192" s="3"/>
      <c r="P192" s="3"/>
      <c r="AF192" s="3"/>
      <c r="AG192" s="3"/>
      <c r="AH192" s="3"/>
      <c r="AI192" s="3"/>
      <c r="AJ192" s="3"/>
      <c r="EO192" s="204"/>
      <c r="EP192" s="3"/>
      <c r="EQ192" s="203"/>
      <c r="ER192" s="5"/>
      <c r="ES192" s="203"/>
      <c r="ET192" s="203"/>
      <c r="EU192" s="6"/>
      <c r="EV192" s="6"/>
      <c r="EW192" s="204"/>
      <c r="EX192" s="3"/>
      <c r="GU192" s="203"/>
      <c r="GV192" s="5"/>
      <c r="GW192" s="203"/>
      <c r="GX192" s="203"/>
      <c r="GY192" s="6"/>
      <c r="GZ192" s="6"/>
      <c r="HA192" s="204"/>
      <c r="HB192" s="3"/>
      <c r="HC192" s="203"/>
      <c r="HD192" s="5"/>
      <c r="HE192" s="203"/>
      <c r="HF192" s="203"/>
      <c r="HG192" s="6"/>
      <c r="HH192" s="6"/>
    </row>
    <row r="193" spans="1:216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62"/>
      <c r="L193" s="62"/>
      <c r="M193" s="62"/>
      <c r="N193" s="15"/>
      <c r="O193" s="3"/>
      <c r="P193" s="3"/>
      <c r="AF193" s="3"/>
      <c r="AG193" s="3"/>
      <c r="AH193" s="3"/>
      <c r="AI193" s="3"/>
      <c r="AJ193" s="3"/>
      <c r="EO193" s="204"/>
      <c r="EP193" s="3"/>
      <c r="EQ193" s="203"/>
      <c r="ER193" s="5"/>
      <c r="ES193" s="203"/>
      <c r="ET193" s="203"/>
      <c r="EU193" s="6"/>
      <c r="EV193" s="6"/>
      <c r="EW193" s="204"/>
      <c r="EX193" s="3"/>
      <c r="GU193" s="203"/>
      <c r="GV193" s="5"/>
      <c r="GW193" s="203"/>
      <c r="GX193" s="203"/>
      <c r="GY193" s="6"/>
      <c r="GZ193" s="6"/>
      <c r="HA193" s="204"/>
      <c r="HB193" s="3"/>
      <c r="HC193" s="203"/>
      <c r="HD193" s="5"/>
      <c r="HE193" s="203"/>
      <c r="HF193" s="203"/>
      <c r="HG193" s="6"/>
      <c r="HH193" s="6"/>
    </row>
    <row r="194" spans="1:216" x14ac:dyDescent="0.2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62"/>
      <c r="L194" s="62"/>
      <c r="M194" s="62"/>
      <c r="N194" s="19"/>
      <c r="O194" s="3"/>
      <c r="P194" s="3"/>
      <c r="AF194" s="3"/>
      <c r="AG194" s="3"/>
      <c r="AH194" s="3"/>
      <c r="AI194" s="3"/>
      <c r="AJ194" s="3"/>
      <c r="EO194" s="204"/>
      <c r="EP194" s="3"/>
      <c r="EQ194" s="203"/>
      <c r="ER194" s="5"/>
      <c r="ES194" s="203"/>
      <c r="ET194" s="203"/>
      <c r="EU194" s="6"/>
      <c r="EV194" s="6"/>
      <c r="EW194" s="204"/>
      <c r="EX194" s="3"/>
      <c r="GU194" s="203"/>
      <c r="GV194" s="5"/>
      <c r="GW194" s="203"/>
      <c r="GX194" s="203"/>
      <c r="GY194" s="6"/>
      <c r="GZ194" s="6"/>
      <c r="HA194" s="204"/>
      <c r="HB194" s="3"/>
      <c r="HC194" s="203"/>
      <c r="HD194" s="5"/>
      <c r="HE194" s="203"/>
      <c r="HF194" s="203"/>
      <c r="HG194" s="6"/>
      <c r="HH194" s="6"/>
    </row>
    <row r="195" spans="1:216" x14ac:dyDescent="0.2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31"/>
      <c r="L195" s="31"/>
      <c r="M195" s="31"/>
      <c r="N195" s="19"/>
      <c r="O195" s="3"/>
      <c r="P195" s="3"/>
      <c r="AF195" s="3"/>
      <c r="AG195" s="3"/>
      <c r="AH195" s="3"/>
      <c r="AI195" s="3"/>
      <c r="AJ195" s="3"/>
      <c r="EO195" s="204"/>
      <c r="EP195" s="3"/>
      <c r="EQ195" s="203"/>
      <c r="ER195" s="5"/>
      <c r="ES195" s="203"/>
      <c r="ET195" s="203"/>
      <c r="EU195" s="6"/>
      <c r="EV195" s="6"/>
      <c r="EW195" s="204"/>
      <c r="EX195" s="3"/>
      <c r="GU195" s="203"/>
      <c r="GV195" s="5"/>
      <c r="GW195" s="203"/>
      <c r="GX195" s="203"/>
      <c r="GY195" s="6"/>
      <c r="GZ195" s="6"/>
      <c r="HA195" s="204"/>
      <c r="HB195" s="3"/>
      <c r="HC195" s="203"/>
      <c r="HD195" s="5"/>
      <c r="HE195" s="203"/>
      <c r="HF195" s="203"/>
      <c r="HG195" s="6"/>
      <c r="HH195" s="6"/>
    </row>
    <row r="196" spans="1:216" x14ac:dyDescent="0.2">
      <c r="A196" s="61"/>
      <c r="B196" s="61"/>
      <c r="C196" s="61"/>
      <c r="D196" s="31"/>
      <c r="E196" s="31"/>
      <c r="F196" s="31"/>
      <c r="G196" s="31"/>
      <c r="H196" s="31"/>
      <c r="I196" s="31"/>
      <c r="J196" s="61"/>
      <c r="K196" s="31"/>
      <c r="L196" s="31"/>
      <c r="M196" s="31"/>
      <c r="N196" s="31"/>
      <c r="O196" s="3"/>
      <c r="P196" s="3"/>
      <c r="AF196" s="3"/>
      <c r="AG196" s="3"/>
      <c r="AH196" s="3"/>
      <c r="AI196" s="3"/>
      <c r="AJ196" s="3"/>
      <c r="EO196" s="204"/>
      <c r="EP196" s="3"/>
      <c r="EQ196" s="203"/>
      <c r="ER196" s="5"/>
      <c r="ES196" s="203"/>
      <c r="ET196" s="203"/>
      <c r="EU196" s="6"/>
      <c r="EV196" s="6"/>
      <c r="EW196" s="204"/>
      <c r="EX196" s="3"/>
      <c r="GU196" s="203"/>
      <c r="GV196" s="5"/>
      <c r="GW196" s="203"/>
      <c r="GX196" s="203"/>
      <c r="GY196" s="6"/>
      <c r="GZ196" s="6"/>
      <c r="HA196" s="204"/>
      <c r="HB196" s="3"/>
      <c r="HC196" s="203"/>
      <c r="HD196" s="5"/>
      <c r="HE196" s="203"/>
      <c r="HF196" s="203"/>
      <c r="HG196" s="6"/>
      <c r="HH196" s="6"/>
    </row>
    <row r="197" spans="1:216" x14ac:dyDescent="0.2">
      <c r="A197" s="61"/>
      <c r="B197" s="61"/>
      <c r="C197" s="61"/>
      <c r="D197" s="31"/>
      <c r="E197" s="31"/>
      <c r="F197" s="31"/>
      <c r="G197" s="31"/>
      <c r="H197" s="31"/>
      <c r="I197" s="31"/>
      <c r="J197" s="61"/>
      <c r="K197" s="31"/>
      <c r="L197" s="31"/>
      <c r="M197" s="31"/>
      <c r="N197" s="31"/>
      <c r="O197" s="3"/>
      <c r="P197" s="3"/>
      <c r="AF197" s="3"/>
      <c r="AG197" s="3"/>
      <c r="AH197" s="3"/>
      <c r="AI197" s="3"/>
      <c r="AJ197" s="3"/>
      <c r="EO197" s="204"/>
      <c r="EP197" s="3"/>
      <c r="EQ197" s="203"/>
      <c r="ER197" s="5"/>
      <c r="ES197" s="203"/>
      <c r="ET197" s="203"/>
      <c r="EU197" s="6"/>
      <c r="EV197" s="6"/>
      <c r="EW197" s="204"/>
      <c r="EX197" s="3"/>
      <c r="GU197" s="203"/>
      <c r="GV197" s="5"/>
      <c r="GW197" s="203"/>
      <c r="GX197" s="203"/>
      <c r="GY197" s="6"/>
      <c r="GZ197" s="6"/>
      <c r="HA197" s="204"/>
      <c r="HB197" s="3"/>
      <c r="HC197" s="203"/>
      <c r="HD197" s="5"/>
      <c r="HE197" s="203"/>
      <c r="HF197" s="203"/>
      <c r="HG197" s="6"/>
      <c r="HH197" s="6"/>
    </row>
    <row r="198" spans="1:216" x14ac:dyDescent="0.2">
      <c r="A198" s="61"/>
      <c r="B198" s="61"/>
      <c r="C198" s="61"/>
      <c r="D198" s="31"/>
      <c r="E198" s="31"/>
      <c r="F198" s="31"/>
      <c r="G198" s="31"/>
      <c r="H198" s="31"/>
      <c r="I198" s="31"/>
      <c r="J198" s="61"/>
      <c r="K198" s="31"/>
      <c r="L198" s="31"/>
      <c r="M198" s="31"/>
      <c r="N198" s="31"/>
      <c r="O198" s="3"/>
      <c r="P198" s="3"/>
      <c r="AF198" s="3"/>
      <c r="AG198" s="3"/>
      <c r="AH198" s="3"/>
      <c r="AI198" s="3"/>
      <c r="AJ198" s="3"/>
      <c r="EO198" s="204"/>
      <c r="EP198" s="3"/>
      <c r="EQ198" s="203"/>
      <c r="ER198" s="5"/>
      <c r="ES198" s="203"/>
      <c r="ET198" s="203"/>
      <c r="EU198" s="6"/>
      <c r="EV198" s="6"/>
      <c r="EW198" s="204"/>
      <c r="EX198" s="3"/>
      <c r="GU198" s="203"/>
      <c r="GV198" s="5"/>
      <c r="GW198" s="203"/>
      <c r="GX198" s="203"/>
      <c r="GY198" s="6"/>
      <c r="GZ198" s="6"/>
      <c r="HA198" s="204"/>
      <c r="HB198" s="3"/>
      <c r="HC198" s="203"/>
      <c r="HD198" s="5"/>
      <c r="HE198" s="203"/>
      <c r="HF198" s="203"/>
      <c r="HG198" s="6"/>
      <c r="HH198" s="6"/>
    </row>
    <row r="199" spans="1:216" x14ac:dyDescent="0.2">
      <c r="A199" s="61"/>
      <c r="B199" s="61"/>
      <c r="C199" s="61"/>
      <c r="D199" s="31"/>
      <c r="E199" s="31"/>
      <c r="F199" s="31"/>
      <c r="G199" s="31"/>
      <c r="H199" s="31"/>
      <c r="I199" s="31"/>
      <c r="J199" s="61"/>
      <c r="K199" s="31"/>
      <c r="L199" s="31"/>
      <c r="M199" s="31"/>
      <c r="N199" s="31"/>
      <c r="O199" s="3"/>
      <c r="P199" s="3"/>
      <c r="AF199" s="3"/>
      <c r="AG199" s="3"/>
      <c r="AH199" s="3"/>
      <c r="AI199" s="3"/>
      <c r="AJ199" s="3"/>
      <c r="EO199" s="204"/>
      <c r="EP199" s="3"/>
      <c r="EQ199" s="203"/>
      <c r="ER199" s="5"/>
      <c r="ES199" s="203"/>
      <c r="ET199" s="203"/>
      <c r="EU199" s="6"/>
      <c r="EV199" s="6"/>
      <c r="EW199" s="204"/>
      <c r="EX199" s="3"/>
      <c r="GU199" s="203"/>
      <c r="GV199" s="5"/>
      <c r="GW199" s="203"/>
      <c r="GX199" s="203"/>
      <c r="GY199" s="6"/>
      <c r="GZ199" s="6"/>
      <c r="HA199" s="204"/>
      <c r="HB199" s="3"/>
      <c r="HC199" s="203"/>
      <c r="HD199" s="5"/>
      <c r="HE199" s="203"/>
      <c r="HF199" s="203"/>
      <c r="HG199" s="6"/>
      <c r="HH199" s="6"/>
    </row>
    <row r="200" spans="1:216" x14ac:dyDescent="0.2">
      <c r="A200" s="61"/>
      <c r="B200" s="61"/>
      <c r="C200" s="61"/>
      <c r="D200" s="31"/>
      <c r="E200" s="31"/>
      <c r="F200" s="31"/>
      <c r="G200" s="31"/>
      <c r="H200" s="31"/>
      <c r="I200" s="31"/>
      <c r="J200" s="61"/>
      <c r="K200" s="31"/>
      <c r="L200" s="31"/>
      <c r="M200" s="31"/>
      <c r="N200" s="31"/>
      <c r="O200" s="3"/>
      <c r="P200" s="3"/>
      <c r="AF200" s="3"/>
      <c r="AG200" s="3"/>
      <c r="AH200" s="3"/>
      <c r="AI200" s="3"/>
      <c r="AJ200" s="3"/>
      <c r="EO200" s="204"/>
      <c r="EP200" s="3"/>
      <c r="EQ200" s="203"/>
      <c r="ER200" s="5"/>
      <c r="ES200" s="203"/>
      <c r="ET200" s="203"/>
      <c r="EU200" s="6"/>
      <c r="EV200" s="6"/>
      <c r="EW200" s="204"/>
      <c r="EX200" s="3"/>
      <c r="GU200" s="203"/>
      <c r="GV200" s="5"/>
      <c r="GW200" s="203"/>
      <c r="GX200" s="203"/>
      <c r="GY200" s="6"/>
      <c r="GZ200" s="6"/>
      <c r="HA200" s="204"/>
      <c r="HB200" s="3"/>
      <c r="HC200" s="203"/>
      <c r="HD200" s="5"/>
      <c r="HE200" s="203"/>
      <c r="HF200" s="203"/>
      <c r="HG200" s="6"/>
      <c r="HH200" s="6"/>
    </row>
    <row r="201" spans="1:216" x14ac:dyDescent="0.2">
      <c r="A201" s="61"/>
      <c r="B201" s="61"/>
      <c r="C201" s="61"/>
      <c r="D201" s="31"/>
      <c r="E201" s="31"/>
      <c r="F201" s="31"/>
      <c r="G201" s="31"/>
      <c r="H201" s="31"/>
      <c r="I201" s="31"/>
      <c r="J201" s="61"/>
      <c r="K201" s="31"/>
      <c r="L201" s="31"/>
      <c r="M201" s="31"/>
      <c r="N201" s="31"/>
      <c r="O201" s="3"/>
      <c r="P201" s="3"/>
      <c r="AF201" s="3"/>
      <c r="AG201" s="3"/>
      <c r="AH201" s="3"/>
      <c r="AI201" s="3"/>
      <c r="AJ201" s="3"/>
      <c r="EO201" s="204"/>
      <c r="EP201" s="3"/>
      <c r="EQ201" s="203"/>
      <c r="ER201" s="5"/>
      <c r="ES201" s="203"/>
      <c r="ET201" s="203"/>
      <c r="EU201" s="6"/>
      <c r="EV201" s="6"/>
      <c r="EW201" s="204"/>
      <c r="EX201" s="3"/>
      <c r="GU201" s="203"/>
      <c r="GV201" s="5"/>
      <c r="GW201" s="203"/>
      <c r="GX201" s="203"/>
      <c r="GY201" s="6"/>
      <c r="GZ201" s="6"/>
      <c r="HA201" s="204"/>
      <c r="HB201" s="3"/>
      <c r="HC201" s="203"/>
      <c r="HD201" s="5"/>
      <c r="HE201" s="203"/>
      <c r="HF201" s="203"/>
      <c r="HG201" s="6"/>
      <c r="HH201" s="6"/>
    </row>
    <row r="202" spans="1:216" x14ac:dyDescent="0.2">
      <c r="A202" s="61"/>
      <c r="B202" s="61"/>
      <c r="C202" s="61"/>
      <c r="D202" s="31"/>
      <c r="E202" s="31"/>
      <c r="F202" s="31"/>
      <c r="G202" s="31"/>
      <c r="H202" s="31"/>
      <c r="I202" s="31"/>
      <c r="J202" s="61"/>
      <c r="K202" s="31"/>
      <c r="L202" s="31"/>
      <c r="M202" s="31"/>
      <c r="N202" s="31"/>
      <c r="O202" s="3"/>
      <c r="P202" s="3"/>
      <c r="AF202" s="3"/>
      <c r="AG202" s="3"/>
      <c r="AH202" s="3"/>
      <c r="AI202" s="3"/>
      <c r="AJ202" s="3"/>
      <c r="EO202" s="204"/>
      <c r="EP202" s="3"/>
      <c r="EQ202" s="203"/>
      <c r="ER202" s="5"/>
      <c r="ES202" s="203"/>
      <c r="ET202" s="203"/>
      <c r="EU202" s="6"/>
      <c r="EV202" s="6"/>
      <c r="EW202" s="204"/>
      <c r="EX202" s="3"/>
      <c r="GU202" s="203"/>
      <c r="GV202" s="5"/>
      <c r="GW202" s="203"/>
      <c r="GX202" s="203"/>
      <c r="GY202" s="6"/>
      <c r="GZ202" s="6"/>
      <c r="HA202" s="204"/>
      <c r="HB202" s="3"/>
      <c r="HC202" s="203"/>
      <c r="HD202" s="5"/>
      <c r="HE202" s="203"/>
      <c r="HF202" s="203"/>
      <c r="HG202" s="6"/>
      <c r="HH202" s="6"/>
    </row>
    <row r="203" spans="1:216" x14ac:dyDescent="0.2">
      <c r="A203" s="61"/>
      <c r="B203" s="61"/>
      <c r="C203" s="61"/>
      <c r="D203" s="31"/>
      <c r="E203" s="31"/>
      <c r="F203" s="31"/>
      <c r="G203" s="31"/>
      <c r="H203" s="31"/>
      <c r="I203" s="31"/>
      <c r="J203" s="61"/>
      <c r="K203" s="31"/>
      <c r="L203" s="31"/>
      <c r="M203" s="31"/>
      <c r="N203" s="31"/>
      <c r="O203" s="3"/>
      <c r="P203" s="3"/>
      <c r="AF203" s="3"/>
      <c r="AG203" s="3"/>
      <c r="AH203" s="3"/>
      <c r="AI203" s="3"/>
      <c r="AJ203" s="3"/>
      <c r="EO203" s="204"/>
      <c r="EP203" s="3"/>
      <c r="EQ203" s="203"/>
      <c r="ER203" s="5"/>
      <c r="ES203" s="203"/>
      <c r="ET203" s="203"/>
      <c r="EU203" s="6"/>
      <c r="EV203" s="6"/>
      <c r="EW203" s="204"/>
      <c r="EX203" s="3"/>
      <c r="GU203" s="203"/>
      <c r="GV203" s="5"/>
      <c r="GW203" s="203"/>
      <c r="GX203" s="203"/>
      <c r="GY203" s="6"/>
      <c r="GZ203" s="6"/>
      <c r="HA203" s="204"/>
      <c r="HB203" s="3"/>
      <c r="HC203" s="203"/>
      <c r="HD203" s="5"/>
      <c r="HE203" s="203"/>
      <c r="HF203" s="203"/>
      <c r="HG203" s="6"/>
      <c r="HH203" s="6"/>
    </row>
    <row r="204" spans="1:216" x14ac:dyDescent="0.2">
      <c r="A204" s="61"/>
      <c r="B204" s="61"/>
      <c r="C204" s="61"/>
      <c r="D204" s="31"/>
      <c r="E204" s="31"/>
      <c r="F204" s="31"/>
      <c r="G204" s="31"/>
      <c r="H204" s="31"/>
      <c r="I204" s="31"/>
      <c r="J204" s="61"/>
      <c r="K204" s="31"/>
      <c r="L204" s="31"/>
      <c r="M204" s="31"/>
      <c r="N204" s="31"/>
      <c r="O204" s="3"/>
      <c r="P204" s="3"/>
      <c r="AF204" s="3"/>
      <c r="AG204" s="3"/>
      <c r="AH204" s="3"/>
      <c r="AI204" s="3"/>
      <c r="AJ204" s="3"/>
      <c r="EO204" s="204"/>
      <c r="EP204" s="3"/>
      <c r="EQ204" s="203"/>
      <c r="ER204" s="5"/>
      <c r="ES204" s="203"/>
      <c r="ET204" s="203"/>
      <c r="EU204" s="6"/>
      <c r="EV204" s="6"/>
      <c r="EW204" s="204"/>
      <c r="EX204" s="3"/>
      <c r="GU204" s="203"/>
      <c r="GV204" s="5"/>
      <c r="GW204" s="203"/>
      <c r="GX204" s="203"/>
      <c r="GY204" s="6"/>
      <c r="GZ204" s="6"/>
      <c r="HA204" s="204"/>
      <c r="HB204" s="3"/>
      <c r="HC204" s="203"/>
      <c r="HD204" s="5"/>
      <c r="HE204" s="203"/>
      <c r="HF204" s="203"/>
      <c r="HG204" s="6"/>
      <c r="HH204" s="6"/>
    </row>
    <row r="205" spans="1:216" x14ac:dyDescent="0.2">
      <c r="A205" s="61"/>
      <c r="B205" s="61"/>
      <c r="C205" s="61"/>
      <c r="D205" s="31"/>
      <c r="E205" s="31"/>
      <c r="F205" s="31"/>
      <c r="G205" s="31"/>
      <c r="H205" s="31"/>
      <c r="I205" s="31"/>
      <c r="J205" s="61"/>
      <c r="K205" s="31"/>
      <c r="L205" s="31"/>
      <c r="M205" s="31"/>
      <c r="N205" s="31"/>
      <c r="O205" s="3"/>
      <c r="P205" s="3"/>
      <c r="AF205" s="3"/>
      <c r="AG205" s="3"/>
      <c r="AH205" s="3"/>
      <c r="AI205" s="3"/>
      <c r="AJ205" s="3"/>
      <c r="EO205" s="204"/>
      <c r="EP205" s="3"/>
      <c r="EQ205" s="203"/>
      <c r="ER205" s="5"/>
      <c r="ES205" s="203"/>
      <c r="ET205" s="203"/>
      <c r="EU205" s="6"/>
      <c r="EV205" s="6"/>
      <c r="EW205" s="204"/>
      <c r="EX205" s="3"/>
      <c r="GU205" s="203"/>
      <c r="GV205" s="5"/>
      <c r="GW205" s="203"/>
      <c r="GX205" s="203"/>
      <c r="GY205" s="6"/>
      <c r="GZ205" s="6"/>
      <c r="HA205" s="204"/>
      <c r="HB205" s="3"/>
      <c r="HC205" s="203"/>
      <c r="HD205" s="5"/>
      <c r="HE205" s="203"/>
      <c r="HF205" s="203"/>
      <c r="HG205" s="6"/>
      <c r="HH205" s="6"/>
    </row>
    <row r="206" spans="1:216" x14ac:dyDescent="0.2">
      <c r="A206" s="61"/>
      <c r="B206" s="61"/>
      <c r="C206" s="61"/>
      <c r="D206" s="31"/>
      <c r="E206" s="31"/>
      <c r="F206" s="31"/>
      <c r="G206" s="31"/>
      <c r="H206" s="31"/>
      <c r="I206" s="31"/>
      <c r="J206" s="61"/>
      <c r="K206" s="31"/>
      <c r="L206" s="31"/>
      <c r="M206" s="31"/>
      <c r="N206" s="31"/>
      <c r="O206" s="3"/>
      <c r="P206" s="3"/>
      <c r="AF206" s="3"/>
      <c r="AG206" s="3"/>
      <c r="AH206" s="3"/>
      <c r="AI206" s="3"/>
      <c r="AJ206" s="3"/>
      <c r="EO206" s="204"/>
      <c r="EP206" s="3"/>
      <c r="EQ206" s="203"/>
      <c r="ER206" s="5"/>
      <c r="ES206" s="203"/>
      <c r="ET206" s="203"/>
      <c r="EU206" s="6"/>
      <c r="EV206" s="6"/>
      <c r="EW206" s="204"/>
      <c r="EX206" s="3"/>
      <c r="GU206" s="203"/>
      <c r="GV206" s="5"/>
      <c r="GW206" s="203"/>
      <c r="GX206" s="203"/>
      <c r="GY206" s="6"/>
      <c r="GZ206" s="6"/>
      <c r="HA206" s="204"/>
      <c r="HB206" s="3"/>
      <c r="HC206" s="203"/>
      <c r="HD206" s="5"/>
      <c r="HE206" s="203"/>
      <c r="HF206" s="203"/>
      <c r="HG206" s="6"/>
      <c r="HH206" s="6"/>
    </row>
    <row r="207" spans="1:216" x14ac:dyDescent="0.2">
      <c r="A207" s="61"/>
      <c r="B207" s="61"/>
      <c r="C207" s="61"/>
      <c r="D207" s="31"/>
      <c r="E207" s="31"/>
      <c r="F207" s="31"/>
      <c r="G207" s="31"/>
      <c r="H207" s="31"/>
      <c r="I207" s="31"/>
      <c r="J207" s="61"/>
      <c r="K207" s="31"/>
      <c r="L207" s="31"/>
      <c r="M207" s="31"/>
      <c r="N207" s="31"/>
      <c r="O207" s="3"/>
      <c r="P207" s="3"/>
      <c r="AF207" s="3"/>
      <c r="AG207" s="3"/>
      <c r="AH207" s="3"/>
      <c r="AI207" s="3"/>
      <c r="AJ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GU207" s="203"/>
      <c r="GV207" s="5"/>
      <c r="GW207" s="203"/>
      <c r="GX207" s="203"/>
      <c r="GY207" s="6"/>
      <c r="GZ207" s="6"/>
      <c r="HA207" s="204"/>
      <c r="HB207" s="3"/>
      <c r="HC207" s="203"/>
      <c r="HD207" s="5"/>
      <c r="HE207" s="203"/>
      <c r="HF207" s="203"/>
      <c r="HG207" s="6"/>
      <c r="HH207" s="6"/>
    </row>
    <row r="208" spans="1:216" x14ac:dyDescent="0.2">
      <c r="A208" s="61"/>
      <c r="B208" s="61"/>
      <c r="C208" s="61"/>
      <c r="D208" s="31"/>
      <c r="E208" s="31"/>
      <c r="F208" s="31"/>
      <c r="G208" s="31"/>
      <c r="H208" s="31"/>
      <c r="I208" s="31"/>
      <c r="J208" s="61"/>
      <c r="K208" s="31"/>
      <c r="L208" s="31"/>
      <c r="M208" s="31"/>
      <c r="N208" s="31"/>
      <c r="O208" s="3"/>
      <c r="P208" s="3"/>
      <c r="AF208" s="3"/>
      <c r="AG208" s="3"/>
      <c r="AH208" s="3"/>
      <c r="AI208" s="3"/>
      <c r="AJ208" s="3"/>
      <c r="EO208" s="3"/>
      <c r="EP208" s="3"/>
      <c r="EQ208" s="2"/>
      <c r="ER208" s="2"/>
      <c r="ES208" s="2"/>
      <c r="ET208" s="2"/>
      <c r="EU208" s="3"/>
      <c r="EV208" s="3"/>
      <c r="EW208" s="3"/>
      <c r="EX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</row>
    <row r="209" spans="1:216" x14ac:dyDescent="0.2">
      <c r="A209" s="61"/>
      <c r="B209" s="61"/>
      <c r="C209" s="61"/>
      <c r="D209" s="31"/>
      <c r="E209" s="31"/>
      <c r="F209" s="31"/>
      <c r="G209" s="31"/>
      <c r="H209" s="31"/>
      <c r="I209" s="31"/>
      <c r="J209" s="61"/>
      <c r="K209" s="31"/>
      <c r="L209" s="31"/>
      <c r="M209" s="31"/>
      <c r="N209" s="31"/>
      <c r="O209" s="3"/>
      <c r="P209" s="3"/>
      <c r="AF209" s="3"/>
      <c r="AG209" s="3"/>
      <c r="AH209" s="3"/>
      <c r="AI209" s="3"/>
      <c r="AJ209" s="3"/>
      <c r="EO209" s="3"/>
      <c r="EP209" s="3"/>
      <c r="EQ209" s="2"/>
      <c r="ER209" s="2"/>
      <c r="ES209" s="2"/>
      <c r="ET209" s="2"/>
      <c r="EU209" s="3"/>
      <c r="EV209" s="3"/>
      <c r="EW209" s="3"/>
      <c r="EX209" s="3"/>
      <c r="GU209" s="2"/>
      <c r="GV209" s="2"/>
      <c r="GW209" s="2"/>
      <c r="GX209" s="2"/>
      <c r="GY209" s="3"/>
      <c r="GZ209" s="3"/>
      <c r="HA209" s="3"/>
      <c r="HB209" s="3"/>
      <c r="HC209" s="2"/>
      <c r="HD209" s="2"/>
      <c r="HE209" s="2"/>
      <c r="HF209" s="2"/>
      <c r="HG209" s="3"/>
      <c r="HH209" s="3"/>
    </row>
    <row r="210" spans="1:216" x14ac:dyDescent="0.2">
      <c r="A210" s="61"/>
      <c r="B210" s="61"/>
      <c r="C210" s="61"/>
      <c r="D210" s="31"/>
      <c r="E210" s="31"/>
      <c r="F210" s="31"/>
      <c r="G210" s="31"/>
      <c r="H210" s="31"/>
      <c r="I210" s="31"/>
      <c r="J210" s="61"/>
      <c r="K210" s="31"/>
      <c r="L210" s="31"/>
      <c r="M210" s="31"/>
      <c r="N210" s="31"/>
      <c r="O210" s="3"/>
      <c r="P210" s="3"/>
      <c r="AF210" s="3"/>
      <c r="AG210" s="3"/>
      <c r="AH210" s="3"/>
      <c r="AI210" s="3"/>
      <c r="AJ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GU210" s="2"/>
      <c r="GV210" s="2"/>
      <c r="GW210" s="2"/>
      <c r="GX210" s="2"/>
      <c r="GY210" s="3"/>
      <c r="GZ210" s="3"/>
      <c r="HA210" s="3"/>
      <c r="HB210" s="3"/>
      <c r="HC210" s="2"/>
      <c r="HD210" s="2"/>
      <c r="HE210" s="2"/>
      <c r="HF210" s="2"/>
      <c r="HG210" s="3"/>
      <c r="HH210" s="3"/>
    </row>
    <row r="211" spans="1:216" x14ac:dyDescent="0.2">
      <c r="A211" s="61"/>
      <c r="B211" s="61"/>
      <c r="C211" s="61"/>
      <c r="D211" s="31"/>
      <c r="E211" s="31"/>
      <c r="F211" s="31"/>
      <c r="G211" s="31"/>
      <c r="H211" s="31"/>
      <c r="I211" s="31"/>
      <c r="J211" s="61"/>
      <c r="K211" s="31"/>
      <c r="L211" s="31"/>
      <c r="M211" s="31"/>
      <c r="N211" s="31"/>
      <c r="O211" s="3"/>
      <c r="P211" s="3"/>
      <c r="AF211" s="3"/>
      <c r="AG211" s="3"/>
      <c r="AH211" s="3"/>
      <c r="AI211" s="3"/>
      <c r="AJ211" s="3"/>
      <c r="EO211" s="4"/>
      <c r="EP211" s="3"/>
      <c r="EQ211" s="4"/>
      <c r="ER211" s="4"/>
      <c r="ES211" s="4"/>
      <c r="ET211" s="4"/>
      <c r="EU211" s="4"/>
      <c r="EV211" s="4"/>
      <c r="EW211" s="4"/>
      <c r="EX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</row>
    <row r="212" spans="1:216" x14ac:dyDescent="0.2">
      <c r="A212" s="61"/>
      <c r="B212" s="61"/>
      <c r="C212" s="61"/>
      <c r="D212" s="31"/>
      <c r="E212" s="31"/>
      <c r="F212" s="31"/>
      <c r="G212" s="31"/>
      <c r="H212" s="31"/>
      <c r="I212" s="31"/>
      <c r="J212" s="61"/>
      <c r="K212" s="31"/>
      <c r="L212" s="31"/>
      <c r="M212" s="31"/>
      <c r="N212" s="31"/>
      <c r="O212" s="3"/>
      <c r="P212" s="3"/>
      <c r="AF212" s="3"/>
      <c r="AG212" s="3"/>
      <c r="AH212" s="3"/>
      <c r="AI212" s="3"/>
      <c r="AJ212" s="3"/>
      <c r="EO212" s="4"/>
      <c r="EP212" s="3"/>
      <c r="EQ212" s="4"/>
      <c r="ER212" s="4"/>
      <c r="ES212" s="4"/>
      <c r="ET212" s="4"/>
      <c r="EU212" s="4"/>
      <c r="EV212" s="4"/>
      <c r="EW212" s="4"/>
      <c r="EX212" s="3"/>
      <c r="GU212" s="4"/>
      <c r="GV212" s="4"/>
      <c r="GW212" s="4"/>
      <c r="GX212" s="4"/>
      <c r="GY212" s="4"/>
      <c r="GZ212" s="4"/>
      <c r="HA212" s="4"/>
      <c r="HB212" s="3"/>
      <c r="HC212" s="4"/>
      <c r="HD212" s="4"/>
      <c r="HE212" s="4"/>
      <c r="HF212" s="4"/>
      <c r="HG212" s="4"/>
      <c r="HH212" s="4"/>
    </row>
    <row r="213" spans="1:216" x14ac:dyDescent="0.2">
      <c r="A213" s="61"/>
      <c r="B213" s="61"/>
      <c r="C213" s="61"/>
      <c r="D213" s="31"/>
      <c r="E213" s="31"/>
      <c r="F213" s="31"/>
      <c r="G213" s="31"/>
      <c r="H213" s="31"/>
      <c r="I213" s="31"/>
      <c r="J213" s="61"/>
      <c r="K213" s="14"/>
      <c r="L213" s="14"/>
      <c r="M213" s="14"/>
      <c r="N213" s="31"/>
      <c r="O213" s="3"/>
      <c r="P213" s="3"/>
      <c r="AF213" s="3"/>
      <c r="AG213" s="3"/>
      <c r="AH213" s="3"/>
      <c r="AI213" s="3"/>
      <c r="AJ213" s="3"/>
      <c r="EO213" s="204"/>
      <c r="EP213" s="3"/>
      <c r="EQ213" s="203"/>
      <c r="ER213" s="5"/>
      <c r="ES213" s="203"/>
      <c r="ET213" s="203"/>
      <c r="EU213" s="6"/>
      <c r="EV213" s="6"/>
      <c r="EW213" s="204"/>
      <c r="EX213" s="3"/>
      <c r="GU213" s="4"/>
      <c r="GV213" s="4"/>
      <c r="GW213" s="4"/>
      <c r="GX213" s="4"/>
      <c r="GY213" s="4"/>
      <c r="GZ213" s="4"/>
      <c r="HA213" s="4"/>
      <c r="HB213" s="3"/>
      <c r="HC213" s="4"/>
      <c r="HD213" s="4"/>
      <c r="HE213" s="4"/>
      <c r="HF213" s="4"/>
      <c r="HG213" s="4"/>
      <c r="HH213" s="4"/>
    </row>
    <row r="214" spans="1:216" x14ac:dyDescent="0.2">
      <c r="A214" s="61"/>
      <c r="B214" s="61"/>
      <c r="C214" s="61"/>
      <c r="D214" s="31"/>
      <c r="E214" s="31"/>
      <c r="F214" s="31"/>
      <c r="G214" s="31"/>
      <c r="H214" s="31"/>
      <c r="I214" s="31"/>
      <c r="J214" s="15"/>
      <c r="K214" s="14"/>
      <c r="L214" s="14"/>
      <c r="M214" s="14"/>
      <c r="N214" s="15"/>
      <c r="O214" s="3"/>
      <c r="P214" s="3"/>
      <c r="AF214" s="3"/>
      <c r="AG214" s="3"/>
      <c r="AH214" s="3"/>
      <c r="AI214" s="3"/>
      <c r="AJ214" s="3"/>
      <c r="EO214" s="204"/>
      <c r="EP214" s="3"/>
      <c r="EQ214" s="203"/>
      <c r="ER214" s="5"/>
      <c r="ES214" s="203"/>
      <c r="ET214" s="203"/>
      <c r="EU214" s="6"/>
      <c r="EV214" s="6"/>
      <c r="EW214" s="204"/>
      <c r="EX214" s="3"/>
      <c r="GU214" s="203"/>
      <c r="GV214" s="5"/>
      <c r="GW214" s="203"/>
      <c r="GX214" s="203"/>
      <c r="GY214" s="6"/>
      <c r="GZ214" s="6"/>
      <c r="HA214" s="204"/>
      <c r="HB214" s="3"/>
      <c r="HC214" s="203"/>
      <c r="HD214" s="5"/>
      <c r="HE214" s="203"/>
      <c r="HF214" s="203"/>
      <c r="HG214" s="6"/>
      <c r="HH214" s="6"/>
    </row>
    <row r="215" spans="1:216" x14ac:dyDescent="0.2">
      <c r="A215" s="61"/>
      <c r="B215" s="61"/>
      <c r="C215" s="61"/>
      <c r="D215" s="31"/>
      <c r="E215" s="31"/>
      <c r="F215" s="31"/>
      <c r="G215" s="31"/>
      <c r="H215" s="31"/>
      <c r="I215" s="31"/>
      <c r="J215" s="15"/>
      <c r="K215" s="14"/>
      <c r="L215" s="14"/>
      <c r="M215" s="14"/>
      <c r="N215" s="15"/>
      <c r="O215" s="3"/>
      <c r="P215" s="3"/>
      <c r="AF215" s="3"/>
      <c r="AG215" s="3"/>
      <c r="AH215" s="3"/>
      <c r="AI215" s="3"/>
      <c r="AJ215" s="3"/>
      <c r="EO215" s="204"/>
      <c r="EP215" s="3"/>
      <c r="EQ215" s="203"/>
      <c r="ER215" s="5"/>
      <c r="ES215" s="203"/>
      <c r="ET215" s="203"/>
      <c r="EU215" s="6"/>
      <c r="EV215" s="6"/>
      <c r="EW215" s="204"/>
      <c r="EX215" s="3"/>
      <c r="GU215" s="203"/>
      <c r="GV215" s="5"/>
      <c r="GW215" s="203"/>
      <c r="GX215" s="203"/>
      <c r="GY215" s="6"/>
      <c r="GZ215" s="6"/>
      <c r="HA215" s="204"/>
      <c r="HB215" s="3"/>
      <c r="HC215" s="203"/>
      <c r="HD215" s="5"/>
      <c r="HE215" s="203"/>
      <c r="HF215" s="203"/>
      <c r="HG215" s="6"/>
      <c r="HH215" s="6"/>
    </row>
    <row r="216" spans="1:216" x14ac:dyDescent="0.2">
      <c r="A216" s="61"/>
      <c r="B216" s="61"/>
      <c r="C216" s="61"/>
      <c r="D216" s="31"/>
      <c r="E216" s="31"/>
      <c r="F216" s="31"/>
      <c r="G216" s="31"/>
      <c r="H216" s="31"/>
      <c r="I216" s="31"/>
      <c r="J216" s="15"/>
      <c r="K216" s="14"/>
      <c r="L216" s="14"/>
      <c r="M216" s="14"/>
      <c r="N216" s="15"/>
      <c r="O216" s="3"/>
      <c r="P216" s="3"/>
      <c r="AF216" s="3"/>
      <c r="AG216" s="3"/>
      <c r="AH216" s="3"/>
      <c r="AI216" s="3"/>
      <c r="AJ216" s="3"/>
      <c r="EO216" s="204"/>
      <c r="EP216" s="3"/>
      <c r="EQ216" s="203"/>
      <c r="ER216" s="5"/>
      <c r="ES216" s="203"/>
      <c r="ET216" s="203"/>
      <c r="EU216" s="6"/>
      <c r="EV216" s="6"/>
      <c r="EW216" s="204"/>
      <c r="EX216" s="3"/>
      <c r="GU216" s="203"/>
      <c r="GV216" s="5"/>
      <c r="GW216" s="203"/>
      <c r="GX216" s="203"/>
      <c r="GY216" s="6"/>
      <c r="GZ216" s="6"/>
      <c r="HA216" s="204"/>
      <c r="HB216" s="3"/>
      <c r="HC216" s="203"/>
      <c r="HD216" s="5"/>
      <c r="HE216" s="203"/>
      <c r="HF216" s="203"/>
      <c r="HG216" s="6"/>
      <c r="HH216" s="6"/>
    </row>
    <row r="217" spans="1:216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3"/>
      <c r="L217" s="13"/>
      <c r="M217" s="14"/>
      <c r="N217" s="15"/>
      <c r="O217" s="3"/>
      <c r="P217" s="3"/>
      <c r="AF217" s="3"/>
      <c r="AG217" s="3"/>
      <c r="AH217" s="3"/>
      <c r="AI217" s="3"/>
      <c r="AJ217" s="3"/>
      <c r="EO217" s="204"/>
      <c r="EP217" s="3"/>
      <c r="EQ217" s="203"/>
      <c r="ER217" s="5"/>
      <c r="ES217" s="203"/>
      <c r="ET217" s="203"/>
      <c r="EU217" s="6"/>
      <c r="EV217" s="6"/>
      <c r="EW217" s="204"/>
      <c r="EX217" s="3"/>
      <c r="GU217" s="203"/>
      <c r="GV217" s="5"/>
      <c r="GW217" s="203"/>
      <c r="GX217" s="203"/>
      <c r="GY217" s="6"/>
      <c r="GZ217" s="6"/>
      <c r="HA217" s="204"/>
      <c r="HB217" s="3"/>
      <c r="HC217" s="203"/>
      <c r="HD217" s="5"/>
      <c r="HE217" s="203"/>
      <c r="HF217" s="203"/>
      <c r="HG217" s="6"/>
      <c r="HH217" s="6"/>
    </row>
    <row r="218" spans="1:216" x14ac:dyDescent="0.2">
      <c r="A218" s="16"/>
      <c r="B218" s="16"/>
      <c r="C218" s="16"/>
      <c r="D218" s="15"/>
      <c r="E218" s="15"/>
      <c r="F218" s="15"/>
      <c r="G218" s="15"/>
      <c r="H218" s="15"/>
      <c r="I218" s="15"/>
      <c r="J218" s="16"/>
      <c r="K218" s="13"/>
      <c r="L218" s="13"/>
      <c r="M218" s="14"/>
      <c r="N218" s="15"/>
      <c r="O218" s="3"/>
      <c r="P218" s="3"/>
      <c r="AF218" s="3"/>
      <c r="AG218" s="3"/>
      <c r="AH218" s="3"/>
      <c r="AI218" s="3"/>
      <c r="AJ218" s="3"/>
      <c r="EO218" s="204"/>
      <c r="EP218" s="3"/>
      <c r="EQ218" s="203"/>
      <c r="ER218" s="5"/>
      <c r="ES218" s="203"/>
      <c r="ET218" s="203"/>
      <c r="EU218" s="6"/>
      <c r="EV218" s="6"/>
      <c r="EW218" s="204"/>
      <c r="EX218" s="3"/>
      <c r="GU218" s="203"/>
      <c r="GV218" s="5"/>
      <c r="GW218" s="203"/>
      <c r="GX218" s="203"/>
      <c r="GY218" s="6"/>
      <c r="GZ218" s="6"/>
      <c r="HA218" s="204"/>
      <c r="HB218" s="3"/>
      <c r="HC218" s="203"/>
      <c r="HD218" s="5"/>
      <c r="HE218" s="203"/>
      <c r="HF218" s="203"/>
      <c r="HG218" s="6"/>
      <c r="HH218" s="6"/>
    </row>
    <row r="219" spans="1:216" x14ac:dyDescent="0.2">
      <c r="A219" s="16"/>
      <c r="B219" s="16"/>
      <c r="C219" s="16"/>
      <c r="D219" s="15"/>
      <c r="E219" s="15"/>
      <c r="F219" s="15"/>
      <c r="G219" s="15"/>
      <c r="H219" s="15"/>
      <c r="I219" s="15"/>
      <c r="J219" s="16"/>
      <c r="K219" s="14"/>
      <c r="L219" s="14"/>
      <c r="M219" s="14"/>
      <c r="N219" s="15"/>
      <c r="O219" s="3"/>
      <c r="P219" s="3"/>
      <c r="AF219" s="3"/>
      <c r="AG219" s="3"/>
      <c r="AH219" s="3"/>
      <c r="AI219" s="3"/>
      <c r="AJ219" s="3"/>
      <c r="EO219" s="204"/>
      <c r="EP219" s="3"/>
      <c r="EQ219" s="203"/>
      <c r="ER219" s="5"/>
      <c r="ES219" s="203"/>
      <c r="ET219" s="203"/>
      <c r="EU219" s="6"/>
      <c r="EV219" s="6"/>
      <c r="EW219" s="204"/>
      <c r="EX219" s="3"/>
      <c r="GU219" s="203"/>
      <c r="GV219" s="5"/>
      <c r="GW219" s="203"/>
      <c r="GX219" s="203"/>
      <c r="GY219" s="6"/>
      <c r="GZ219" s="6"/>
      <c r="HA219" s="204"/>
      <c r="HB219" s="3"/>
      <c r="HC219" s="203"/>
      <c r="HD219" s="5"/>
      <c r="HE219" s="203"/>
      <c r="HF219" s="203"/>
      <c r="HG219" s="6"/>
      <c r="HH219" s="6"/>
    </row>
    <row r="220" spans="1:216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62"/>
      <c r="L220" s="62"/>
      <c r="M220" s="62"/>
      <c r="N220" s="15"/>
      <c r="O220" s="3"/>
      <c r="P220" s="3"/>
      <c r="AF220" s="3"/>
      <c r="AG220" s="3"/>
      <c r="AH220" s="3"/>
      <c r="AI220" s="3"/>
      <c r="AJ220" s="3"/>
      <c r="EO220" s="204"/>
      <c r="EP220" s="3"/>
      <c r="EQ220" s="203"/>
      <c r="ER220" s="5"/>
      <c r="ES220" s="203"/>
      <c r="ET220" s="203"/>
      <c r="EU220" s="6"/>
      <c r="EV220" s="6"/>
      <c r="EW220" s="204"/>
      <c r="EX220" s="3"/>
      <c r="GU220" s="203"/>
      <c r="GV220" s="5"/>
      <c r="GW220" s="203"/>
      <c r="GX220" s="203"/>
      <c r="GY220" s="6"/>
      <c r="GZ220" s="6"/>
      <c r="HA220" s="204"/>
      <c r="HB220" s="3"/>
      <c r="HC220" s="203"/>
      <c r="HD220" s="5"/>
      <c r="HE220" s="203"/>
      <c r="HF220" s="203"/>
      <c r="HG220" s="6"/>
      <c r="HH220" s="6"/>
    </row>
    <row r="221" spans="1:216" x14ac:dyDescent="0.2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62"/>
      <c r="L221" s="62"/>
      <c r="M221" s="62"/>
      <c r="N221" s="19"/>
      <c r="O221" s="3"/>
      <c r="P221" s="3"/>
      <c r="AF221" s="3"/>
      <c r="AG221" s="3"/>
      <c r="AH221" s="3"/>
      <c r="AI221" s="3"/>
      <c r="AJ221" s="3"/>
      <c r="EO221" s="204"/>
      <c r="EP221" s="3"/>
      <c r="EQ221" s="203"/>
      <c r="ER221" s="5"/>
      <c r="ES221" s="203"/>
      <c r="ET221" s="203"/>
      <c r="EU221" s="6"/>
      <c r="EV221" s="6"/>
      <c r="EW221" s="204"/>
      <c r="EX221" s="3"/>
      <c r="GU221" s="203"/>
      <c r="GV221" s="5"/>
      <c r="GW221" s="203"/>
      <c r="GX221" s="203"/>
      <c r="GY221" s="6"/>
      <c r="GZ221" s="6"/>
      <c r="HA221" s="204"/>
      <c r="HB221" s="3"/>
      <c r="HC221" s="203"/>
      <c r="HD221" s="5"/>
      <c r="HE221" s="203"/>
      <c r="HF221" s="203"/>
      <c r="HG221" s="6"/>
      <c r="HH221" s="6"/>
    </row>
    <row r="222" spans="1:216" x14ac:dyDescent="0.2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31"/>
      <c r="L222" s="31"/>
      <c r="M222" s="31"/>
      <c r="N222" s="19"/>
      <c r="O222" s="3"/>
      <c r="P222" s="3"/>
      <c r="AF222" s="3"/>
      <c r="AG222" s="3"/>
      <c r="AH222" s="3"/>
      <c r="AI222" s="3"/>
      <c r="AJ222" s="3"/>
      <c r="EO222" s="204"/>
      <c r="EP222" s="3"/>
      <c r="EQ222" s="203"/>
      <c r="ER222" s="5"/>
      <c r="ES222" s="203"/>
      <c r="ET222" s="203"/>
      <c r="EU222" s="6"/>
      <c r="EV222" s="6"/>
      <c r="EW222" s="204"/>
      <c r="EX222" s="3"/>
      <c r="GU222" s="203"/>
      <c r="GV222" s="5"/>
      <c r="GW222" s="203"/>
      <c r="GX222" s="203"/>
      <c r="GY222" s="6"/>
      <c r="GZ222" s="6"/>
      <c r="HA222" s="204"/>
      <c r="HB222" s="3"/>
      <c r="HC222" s="203"/>
      <c r="HD222" s="5"/>
      <c r="HE222" s="203"/>
      <c r="HF222" s="203"/>
      <c r="HG222" s="6"/>
      <c r="HH222" s="6"/>
    </row>
    <row r="223" spans="1:216" x14ac:dyDescent="0.2">
      <c r="A223" s="61"/>
      <c r="B223" s="61"/>
      <c r="C223" s="61"/>
      <c r="D223" s="31"/>
      <c r="E223" s="31"/>
      <c r="F223" s="31"/>
      <c r="G223" s="31"/>
      <c r="H223" s="31"/>
      <c r="I223" s="31"/>
      <c r="J223" s="61"/>
      <c r="K223" s="31"/>
      <c r="L223" s="31"/>
      <c r="M223" s="31"/>
      <c r="N223" s="31"/>
      <c r="O223" s="3"/>
      <c r="P223" s="3"/>
      <c r="AF223" s="3"/>
      <c r="AG223" s="3"/>
      <c r="AH223" s="3"/>
      <c r="AI223" s="3"/>
      <c r="AJ223" s="3"/>
      <c r="EO223" s="204"/>
      <c r="EP223" s="3"/>
      <c r="EQ223" s="203"/>
      <c r="ER223" s="5"/>
      <c r="ES223" s="203"/>
      <c r="ET223" s="203"/>
      <c r="EU223" s="6"/>
      <c r="EV223" s="6"/>
      <c r="EW223" s="204"/>
      <c r="EX223" s="3"/>
      <c r="GU223" s="203"/>
      <c r="GV223" s="5"/>
      <c r="GW223" s="203"/>
      <c r="GX223" s="203"/>
      <c r="GY223" s="6"/>
      <c r="GZ223" s="6"/>
      <c r="HA223" s="204"/>
      <c r="HB223" s="3"/>
      <c r="HC223" s="203"/>
      <c r="HD223" s="5"/>
      <c r="HE223" s="203"/>
      <c r="HF223" s="203"/>
      <c r="HG223" s="6"/>
      <c r="HH223" s="6"/>
    </row>
    <row r="224" spans="1:216" x14ac:dyDescent="0.2">
      <c r="A224" s="61"/>
      <c r="B224" s="61"/>
      <c r="C224" s="61"/>
      <c r="D224" s="31"/>
      <c r="E224" s="31"/>
      <c r="F224" s="31"/>
      <c r="G224" s="31"/>
      <c r="H224" s="31"/>
      <c r="I224" s="31"/>
      <c r="J224" s="61"/>
      <c r="K224" s="31"/>
      <c r="L224" s="31"/>
      <c r="M224" s="31"/>
      <c r="N224" s="31"/>
      <c r="O224" s="3"/>
      <c r="P224" s="3"/>
      <c r="AF224" s="3"/>
      <c r="AG224" s="3"/>
      <c r="AH224" s="3"/>
      <c r="AI224" s="3"/>
      <c r="AJ224" s="3"/>
      <c r="EO224" s="204"/>
      <c r="EP224" s="3"/>
      <c r="EQ224" s="203"/>
      <c r="ER224" s="5"/>
      <c r="ES224" s="203"/>
      <c r="ET224" s="203"/>
      <c r="EU224" s="6"/>
      <c r="EV224" s="6"/>
      <c r="EW224" s="204"/>
      <c r="EX224" s="3"/>
      <c r="GU224" s="203"/>
      <c r="GV224" s="5"/>
      <c r="GW224" s="203"/>
      <c r="GX224" s="203"/>
      <c r="GY224" s="6"/>
      <c r="GZ224" s="6"/>
      <c r="HA224" s="204"/>
      <c r="HB224" s="3"/>
      <c r="HC224" s="203"/>
      <c r="HD224" s="5"/>
      <c r="HE224" s="203"/>
      <c r="HF224" s="203"/>
      <c r="HG224" s="6"/>
      <c r="HH224" s="6"/>
    </row>
    <row r="225" spans="1:216" x14ac:dyDescent="0.2">
      <c r="A225" s="61"/>
      <c r="B225" s="61"/>
      <c r="C225" s="61"/>
      <c r="D225" s="31"/>
      <c r="E225" s="31"/>
      <c r="F225" s="31"/>
      <c r="G225" s="31"/>
      <c r="H225" s="31"/>
      <c r="I225" s="31"/>
      <c r="J225" s="61"/>
      <c r="K225" s="31"/>
      <c r="L225" s="31"/>
      <c r="M225" s="31"/>
      <c r="N225" s="31"/>
      <c r="O225" s="3"/>
      <c r="P225" s="3"/>
      <c r="AF225" s="3"/>
      <c r="AG225" s="3"/>
      <c r="AH225" s="3"/>
      <c r="AI225" s="3"/>
      <c r="AJ225" s="3"/>
      <c r="EO225" s="204"/>
      <c r="EP225" s="3"/>
      <c r="EQ225" s="203"/>
      <c r="ER225" s="5"/>
      <c r="ES225" s="203"/>
      <c r="ET225" s="203"/>
      <c r="EU225" s="6"/>
      <c r="EV225" s="6"/>
      <c r="EW225" s="204"/>
      <c r="EX225" s="3"/>
      <c r="GU225" s="203"/>
      <c r="GV225" s="5"/>
      <c r="GW225" s="203"/>
      <c r="GX225" s="203"/>
      <c r="GY225" s="6"/>
      <c r="GZ225" s="6"/>
      <c r="HA225" s="204"/>
      <c r="HB225" s="3"/>
      <c r="HC225" s="203"/>
      <c r="HD225" s="5"/>
      <c r="HE225" s="203"/>
      <c r="HF225" s="203"/>
      <c r="HG225" s="6"/>
      <c r="HH225" s="6"/>
    </row>
    <row r="226" spans="1:216" x14ac:dyDescent="0.2">
      <c r="A226" s="61"/>
      <c r="B226" s="61"/>
      <c r="C226" s="61"/>
      <c r="D226" s="31"/>
      <c r="E226" s="31"/>
      <c r="F226" s="31"/>
      <c r="G226" s="31"/>
      <c r="H226" s="31"/>
      <c r="I226" s="31"/>
      <c r="J226" s="61"/>
      <c r="K226" s="31"/>
      <c r="L226" s="31"/>
      <c r="M226" s="31"/>
      <c r="N226" s="31"/>
      <c r="O226" s="3"/>
      <c r="P226" s="3"/>
      <c r="AF226" s="3"/>
      <c r="AG226" s="3"/>
      <c r="AH226" s="3"/>
      <c r="AI226" s="3"/>
      <c r="AJ226" s="3"/>
      <c r="EO226" s="204"/>
      <c r="EP226" s="3"/>
      <c r="EQ226" s="203"/>
      <c r="ER226" s="5"/>
      <c r="ES226" s="203"/>
      <c r="ET226" s="203"/>
      <c r="EU226" s="6"/>
      <c r="EV226" s="6"/>
      <c r="EW226" s="204"/>
      <c r="EX226" s="3"/>
      <c r="GU226" s="203"/>
      <c r="GV226" s="5"/>
      <c r="GW226" s="203"/>
      <c r="GX226" s="203"/>
      <c r="GY226" s="6"/>
      <c r="GZ226" s="6"/>
      <c r="HA226" s="204"/>
      <c r="HB226" s="3"/>
      <c r="HC226" s="203"/>
      <c r="HD226" s="5"/>
      <c r="HE226" s="203"/>
      <c r="HF226" s="203"/>
      <c r="HG226" s="6"/>
      <c r="HH226" s="6"/>
    </row>
    <row r="227" spans="1:216" x14ac:dyDescent="0.2">
      <c r="A227" s="61"/>
      <c r="B227" s="61"/>
      <c r="C227" s="61"/>
      <c r="D227" s="31"/>
      <c r="E227" s="31"/>
      <c r="F227" s="31"/>
      <c r="G227" s="31"/>
      <c r="H227" s="31"/>
      <c r="I227" s="31"/>
      <c r="J227" s="61"/>
      <c r="K227" s="31"/>
      <c r="L227" s="31"/>
      <c r="M227" s="31"/>
      <c r="N227" s="31"/>
      <c r="O227" s="3"/>
      <c r="P227" s="3"/>
      <c r="AF227" s="3"/>
      <c r="AG227" s="3"/>
      <c r="AH227" s="3"/>
      <c r="AI227" s="3"/>
      <c r="AJ227" s="3"/>
      <c r="EO227" s="204"/>
      <c r="EP227" s="3"/>
      <c r="EQ227" s="203"/>
      <c r="ER227" s="5"/>
      <c r="ES227" s="203"/>
      <c r="ET227" s="203"/>
      <c r="EU227" s="6"/>
      <c r="EV227" s="6"/>
      <c r="EW227" s="204"/>
      <c r="EX227" s="3"/>
      <c r="GU227" s="203"/>
      <c r="GV227" s="5"/>
      <c r="GW227" s="203"/>
      <c r="GX227" s="203"/>
      <c r="GY227" s="6"/>
      <c r="GZ227" s="6"/>
      <c r="HA227" s="204"/>
      <c r="HB227" s="3"/>
      <c r="HC227" s="203"/>
      <c r="HD227" s="5"/>
      <c r="HE227" s="203"/>
      <c r="HF227" s="203"/>
      <c r="HG227" s="6"/>
      <c r="HH227" s="6"/>
    </row>
    <row r="228" spans="1:216" x14ac:dyDescent="0.2">
      <c r="A228" s="61"/>
      <c r="B228" s="61"/>
      <c r="C228" s="61"/>
      <c r="D228" s="31"/>
      <c r="E228" s="31"/>
      <c r="F228" s="31"/>
      <c r="G228" s="31"/>
      <c r="H228" s="31"/>
      <c r="I228" s="31"/>
      <c r="J228" s="61"/>
      <c r="K228" s="31"/>
      <c r="L228" s="31"/>
      <c r="M228" s="31"/>
      <c r="N228" s="31"/>
      <c r="O228" s="3"/>
      <c r="P228" s="3"/>
      <c r="AF228" s="3"/>
      <c r="AG228" s="3"/>
      <c r="AH228" s="3"/>
      <c r="AI228" s="3"/>
      <c r="AJ228" s="3"/>
      <c r="EO228" s="204"/>
      <c r="EP228" s="3"/>
      <c r="EQ228" s="203"/>
      <c r="ER228" s="5"/>
      <c r="ES228" s="203"/>
      <c r="ET228" s="203"/>
      <c r="EU228" s="6"/>
      <c r="EV228" s="6"/>
      <c r="EW228" s="204"/>
      <c r="EX228" s="3"/>
      <c r="GU228" s="203"/>
      <c r="GV228" s="5"/>
      <c r="GW228" s="203"/>
      <c r="GX228" s="203"/>
      <c r="GY228" s="6"/>
      <c r="GZ228" s="6"/>
      <c r="HA228" s="204"/>
      <c r="HB228" s="3"/>
      <c r="HC228" s="203"/>
      <c r="HD228" s="5"/>
      <c r="HE228" s="203"/>
      <c r="HF228" s="203"/>
      <c r="HG228" s="6"/>
      <c r="HH228" s="6"/>
    </row>
    <row r="229" spans="1:216" x14ac:dyDescent="0.2">
      <c r="A229" s="61"/>
      <c r="B229" s="61"/>
      <c r="C229" s="61"/>
      <c r="D229" s="31"/>
      <c r="E229" s="31"/>
      <c r="F229" s="31"/>
      <c r="G229" s="31"/>
      <c r="H229" s="31"/>
      <c r="I229" s="31"/>
      <c r="J229" s="61"/>
      <c r="K229" s="31"/>
      <c r="L229" s="31"/>
      <c r="M229" s="31"/>
      <c r="N229" s="31"/>
      <c r="O229" s="3"/>
      <c r="P229" s="3"/>
      <c r="AF229" s="3"/>
      <c r="AG229" s="3"/>
      <c r="AH229" s="3"/>
      <c r="AI229" s="3"/>
      <c r="AJ229" s="3"/>
      <c r="EO229" s="204"/>
      <c r="EP229" s="3"/>
      <c r="EQ229" s="203"/>
      <c r="ER229" s="5"/>
      <c r="ES229" s="203"/>
      <c r="ET229" s="203"/>
      <c r="EU229" s="6"/>
      <c r="EV229" s="6"/>
      <c r="EW229" s="204"/>
      <c r="EX229" s="3"/>
      <c r="GU229" s="203"/>
      <c r="GV229" s="5"/>
      <c r="GW229" s="203"/>
      <c r="GX229" s="203"/>
      <c r="GY229" s="6"/>
      <c r="GZ229" s="6"/>
      <c r="HA229" s="204"/>
      <c r="HB229" s="3"/>
      <c r="HC229" s="203"/>
      <c r="HD229" s="5"/>
      <c r="HE229" s="203"/>
      <c r="HF229" s="203"/>
      <c r="HG229" s="6"/>
      <c r="HH229" s="6"/>
    </row>
    <row r="230" spans="1:216" x14ac:dyDescent="0.2">
      <c r="A230" s="61"/>
      <c r="B230" s="61"/>
      <c r="C230" s="61"/>
      <c r="D230" s="31"/>
      <c r="E230" s="31"/>
      <c r="F230" s="31"/>
      <c r="G230" s="31"/>
      <c r="H230" s="31"/>
      <c r="I230" s="31"/>
      <c r="J230" s="61"/>
      <c r="K230" s="31"/>
      <c r="L230" s="31"/>
      <c r="M230" s="31"/>
      <c r="N230" s="31"/>
      <c r="O230" s="3"/>
      <c r="P230" s="3"/>
      <c r="AF230" s="3"/>
      <c r="AG230" s="3"/>
      <c r="AH230" s="3"/>
      <c r="AI230" s="3"/>
      <c r="AJ230" s="3"/>
      <c r="EO230" s="204"/>
      <c r="EP230" s="3"/>
      <c r="EQ230" s="203"/>
      <c r="ER230" s="5"/>
      <c r="ES230" s="203"/>
      <c r="ET230" s="203"/>
      <c r="EU230" s="6"/>
      <c r="EV230" s="6"/>
      <c r="EW230" s="204"/>
      <c r="EX230" s="3"/>
      <c r="GU230" s="203"/>
      <c r="GV230" s="5"/>
      <c r="GW230" s="203"/>
      <c r="GX230" s="203"/>
      <c r="GY230" s="6"/>
      <c r="GZ230" s="6"/>
      <c r="HA230" s="204"/>
      <c r="HB230" s="3"/>
      <c r="HC230" s="203"/>
      <c r="HD230" s="5"/>
      <c r="HE230" s="203"/>
      <c r="HF230" s="203"/>
      <c r="HG230" s="6"/>
      <c r="HH230" s="6"/>
    </row>
    <row r="231" spans="1:216" x14ac:dyDescent="0.2">
      <c r="A231" s="61"/>
      <c r="B231" s="61"/>
      <c r="C231" s="61"/>
      <c r="D231" s="31"/>
      <c r="E231" s="31"/>
      <c r="F231" s="31"/>
      <c r="G231" s="31"/>
      <c r="H231" s="31"/>
      <c r="I231" s="31"/>
      <c r="J231" s="61"/>
      <c r="K231" s="31"/>
      <c r="L231" s="31"/>
      <c r="M231" s="31"/>
      <c r="N231" s="31"/>
      <c r="O231" s="3"/>
      <c r="P231" s="3"/>
      <c r="AF231" s="3"/>
      <c r="AG231" s="3"/>
      <c r="AH231" s="3"/>
      <c r="AI231" s="3"/>
      <c r="AJ231" s="3"/>
      <c r="EO231" s="204"/>
      <c r="EP231" s="3"/>
      <c r="EQ231" s="203"/>
      <c r="ER231" s="5"/>
      <c r="ES231" s="203"/>
      <c r="ET231" s="203"/>
      <c r="EU231" s="6"/>
      <c r="EV231" s="6"/>
      <c r="EW231" s="204"/>
      <c r="EX231" s="3"/>
      <c r="GU231" s="203"/>
      <c r="GV231" s="5"/>
      <c r="GW231" s="203"/>
      <c r="GX231" s="203"/>
      <c r="GY231" s="6"/>
      <c r="GZ231" s="6"/>
      <c r="HA231" s="204"/>
      <c r="HB231" s="3"/>
      <c r="HC231" s="203"/>
      <c r="HD231" s="5"/>
      <c r="HE231" s="203"/>
      <c r="HF231" s="203"/>
      <c r="HG231" s="6"/>
      <c r="HH231" s="6"/>
    </row>
    <row r="232" spans="1:216" x14ac:dyDescent="0.2">
      <c r="A232" s="61"/>
      <c r="B232" s="61"/>
      <c r="C232" s="61"/>
      <c r="D232" s="31"/>
      <c r="E232" s="31"/>
      <c r="F232" s="31"/>
      <c r="G232" s="31"/>
      <c r="H232" s="31"/>
      <c r="I232" s="31"/>
      <c r="J232" s="61"/>
      <c r="K232" s="31"/>
      <c r="L232" s="31"/>
      <c r="M232" s="31"/>
      <c r="N232" s="31"/>
      <c r="O232" s="3"/>
      <c r="P232" s="3"/>
      <c r="AF232" s="3"/>
      <c r="AG232" s="3"/>
      <c r="AH232" s="3"/>
      <c r="AI232" s="3"/>
      <c r="AJ232" s="3"/>
      <c r="EO232" s="204"/>
      <c r="EP232" s="3"/>
      <c r="EQ232" s="203"/>
      <c r="ER232" s="5"/>
      <c r="ES232" s="203"/>
      <c r="ET232" s="203"/>
      <c r="EU232" s="6"/>
      <c r="EV232" s="6"/>
      <c r="EW232" s="204"/>
      <c r="EX232" s="3"/>
      <c r="GU232" s="203"/>
      <c r="GV232" s="5"/>
      <c r="GW232" s="203"/>
      <c r="GX232" s="203"/>
      <c r="GY232" s="6"/>
      <c r="GZ232" s="6"/>
      <c r="HA232" s="204"/>
      <c r="HB232" s="3"/>
      <c r="HC232" s="203"/>
      <c r="HD232" s="5"/>
      <c r="HE232" s="203"/>
      <c r="HF232" s="203"/>
      <c r="HG232" s="6"/>
      <c r="HH232" s="6"/>
    </row>
    <row r="233" spans="1:216" x14ac:dyDescent="0.2">
      <c r="A233" s="61"/>
      <c r="B233" s="61"/>
      <c r="C233" s="61"/>
      <c r="D233" s="31"/>
      <c r="E233" s="31"/>
      <c r="F233" s="31"/>
      <c r="G233" s="31"/>
      <c r="H233" s="31"/>
      <c r="I233" s="31"/>
      <c r="J233" s="61"/>
      <c r="K233" s="31"/>
      <c r="L233" s="31"/>
      <c r="M233" s="31"/>
      <c r="N233" s="31"/>
      <c r="O233" s="3"/>
      <c r="P233" s="3"/>
      <c r="AF233" s="3"/>
      <c r="AG233" s="3"/>
      <c r="AH233" s="3"/>
      <c r="AI233" s="3"/>
      <c r="AJ233" s="3"/>
      <c r="EO233" s="204"/>
      <c r="EP233" s="3"/>
      <c r="EQ233" s="203"/>
      <c r="ER233" s="5"/>
      <c r="ES233" s="203"/>
      <c r="ET233" s="203"/>
      <c r="EU233" s="6"/>
      <c r="EV233" s="6"/>
      <c r="EW233" s="204"/>
      <c r="EX233" s="3"/>
      <c r="GU233" s="203"/>
      <c r="GV233" s="5"/>
      <c r="GW233" s="203"/>
      <c r="GX233" s="203"/>
      <c r="GY233" s="6"/>
      <c r="GZ233" s="6"/>
      <c r="HA233" s="204"/>
      <c r="HB233" s="3"/>
      <c r="HC233" s="203"/>
      <c r="HD233" s="5"/>
      <c r="HE233" s="203"/>
      <c r="HF233" s="203"/>
      <c r="HG233" s="6"/>
      <c r="HH233" s="6"/>
    </row>
    <row r="234" spans="1:216" x14ac:dyDescent="0.2">
      <c r="A234" s="61"/>
      <c r="B234" s="61"/>
      <c r="C234" s="61"/>
      <c r="D234" s="31"/>
      <c r="E234" s="31"/>
      <c r="F234" s="31"/>
      <c r="G234" s="31"/>
      <c r="H234" s="31"/>
      <c r="I234" s="31"/>
      <c r="J234" s="61"/>
      <c r="K234" s="31"/>
      <c r="L234" s="31"/>
      <c r="M234" s="31"/>
      <c r="N234" s="31"/>
      <c r="O234" s="3"/>
      <c r="P234" s="3"/>
      <c r="AF234" s="3"/>
      <c r="AG234" s="3"/>
      <c r="AH234" s="3"/>
      <c r="AI234" s="3"/>
      <c r="AJ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GU234" s="203"/>
      <c r="GV234" s="5"/>
      <c r="GW234" s="203"/>
      <c r="GX234" s="203"/>
      <c r="GY234" s="6"/>
      <c r="GZ234" s="6"/>
      <c r="HA234" s="204"/>
      <c r="HB234" s="3"/>
      <c r="HC234" s="203"/>
      <c r="HD234" s="5"/>
      <c r="HE234" s="203"/>
      <c r="HF234" s="203"/>
      <c r="HG234" s="6"/>
      <c r="HH234" s="6"/>
    </row>
    <row r="235" spans="1:216" x14ac:dyDescent="0.2">
      <c r="A235" s="61"/>
      <c r="B235" s="61"/>
      <c r="C235" s="61"/>
      <c r="D235" s="31"/>
      <c r="E235" s="31"/>
      <c r="F235" s="31"/>
      <c r="G235" s="31"/>
      <c r="H235" s="31"/>
      <c r="I235" s="31"/>
      <c r="J235" s="61"/>
      <c r="K235" s="31"/>
      <c r="L235" s="31"/>
      <c r="M235" s="31"/>
      <c r="N235" s="31"/>
      <c r="O235" s="3"/>
      <c r="P235" s="3"/>
      <c r="AF235" s="3"/>
      <c r="AG235" s="3"/>
      <c r="AH235" s="3"/>
      <c r="AI235" s="3"/>
      <c r="AJ235" s="3"/>
      <c r="EO235" s="3"/>
      <c r="EP235" s="3"/>
      <c r="EQ235" s="2"/>
      <c r="ER235" s="2"/>
      <c r="ES235" s="2"/>
      <c r="ET235" s="2"/>
      <c r="EU235" s="3"/>
      <c r="EV235" s="3"/>
      <c r="EW235" s="3"/>
      <c r="EX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</row>
    <row r="236" spans="1:216" x14ac:dyDescent="0.2">
      <c r="A236" s="61"/>
      <c r="B236" s="61"/>
      <c r="C236" s="61"/>
      <c r="D236" s="31"/>
      <c r="E236" s="31"/>
      <c r="F236" s="31"/>
      <c r="G236" s="31"/>
      <c r="H236" s="31"/>
      <c r="I236" s="31"/>
      <c r="J236" s="61"/>
      <c r="K236" s="31"/>
      <c r="L236" s="31"/>
      <c r="M236" s="31"/>
      <c r="N236" s="31"/>
      <c r="O236" s="3"/>
      <c r="P236" s="3"/>
      <c r="AF236" s="3"/>
      <c r="AG236" s="3"/>
      <c r="AH236" s="3"/>
      <c r="AI236" s="3"/>
      <c r="AJ236" s="3"/>
      <c r="EO236" s="3"/>
      <c r="EP236" s="3"/>
      <c r="EQ236" s="2"/>
      <c r="ER236" s="2"/>
      <c r="ES236" s="2"/>
      <c r="ET236" s="2"/>
      <c r="EU236" s="3"/>
      <c r="EV236" s="3"/>
      <c r="EW236" s="3"/>
      <c r="EX236" s="3"/>
      <c r="GU236" s="2"/>
      <c r="GV236" s="2"/>
      <c r="GW236" s="2"/>
      <c r="GX236" s="2"/>
      <c r="GY236" s="3"/>
      <c r="GZ236" s="3"/>
      <c r="HA236" s="3"/>
      <c r="HB236" s="3"/>
      <c r="HC236" s="2"/>
      <c r="HD236" s="2"/>
      <c r="HE236" s="2"/>
      <c r="HF236" s="2"/>
      <c r="HG236" s="3"/>
      <c r="HH236" s="3"/>
    </row>
    <row r="237" spans="1:216" x14ac:dyDescent="0.2">
      <c r="A237" s="61"/>
      <c r="B237" s="61"/>
      <c r="C237" s="61"/>
      <c r="D237" s="31"/>
      <c r="E237" s="31"/>
      <c r="F237" s="31"/>
      <c r="G237" s="31"/>
      <c r="H237" s="31"/>
      <c r="I237" s="31"/>
      <c r="J237" s="61"/>
      <c r="K237" s="31"/>
      <c r="L237" s="31"/>
      <c r="M237" s="31"/>
      <c r="N237" s="31"/>
      <c r="O237" s="3"/>
      <c r="P237" s="3"/>
      <c r="AF237" s="3"/>
      <c r="AG237" s="3"/>
      <c r="AH237" s="3"/>
      <c r="AI237" s="3"/>
      <c r="AJ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GU237" s="2"/>
      <c r="GV237" s="2"/>
      <c r="GW237" s="2"/>
      <c r="GX237" s="2"/>
      <c r="GY237" s="3"/>
      <c r="GZ237" s="3"/>
      <c r="HA237" s="3"/>
      <c r="HB237" s="3"/>
      <c r="HC237" s="2"/>
      <c r="HD237" s="2"/>
      <c r="HE237" s="2"/>
      <c r="HF237" s="2"/>
      <c r="HG237" s="3"/>
      <c r="HH237" s="3"/>
    </row>
    <row r="238" spans="1:216" x14ac:dyDescent="0.2">
      <c r="A238" s="61"/>
      <c r="B238" s="61"/>
      <c r="C238" s="61"/>
      <c r="D238" s="31"/>
      <c r="E238" s="31"/>
      <c r="F238" s="31"/>
      <c r="G238" s="31"/>
      <c r="H238" s="31"/>
      <c r="I238" s="31"/>
      <c r="J238" s="61"/>
      <c r="K238" s="31"/>
      <c r="L238" s="31"/>
      <c r="M238" s="31"/>
      <c r="N238" s="31"/>
      <c r="O238" s="3"/>
      <c r="P238" s="3"/>
      <c r="AF238" s="3"/>
      <c r="AG238" s="3"/>
      <c r="AH238" s="3"/>
      <c r="AI238" s="3"/>
      <c r="AJ238" s="3"/>
      <c r="EO238" s="4"/>
      <c r="EP238" s="3"/>
      <c r="EQ238" s="4"/>
      <c r="ER238" s="4"/>
      <c r="ES238" s="4"/>
      <c r="ET238" s="4"/>
      <c r="EU238" s="4"/>
      <c r="EV238" s="4"/>
      <c r="EW238" s="4"/>
      <c r="EX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</row>
    <row r="239" spans="1:216" x14ac:dyDescent="0.2">
      <c r="A239" s="61"/>
      <c r="B239" s="61"/>
      <c r="C239" s="61"/>
      <c r="D239" s="31"/>
      <c r="E239" s="31"/>
      <c r="F239" s="31"/>
      <c r="G239" s="31"/>
      <c r="H239" s="31"/>
      <c r="I239" s="31"/>
      <c r="J239" s="61"/>
      <c r="K239" s="31"/>
      <c r="L239" s="31"/>
      <c r="M239" s="31"/>
      <c r="N239" s="31"/>
      <c r="O239" s="3"/>
      <c r="P239" s="3"/>
      <c r="AF239" s="3"/>
      <c r="AG239" s="3"/>
      <c r="AH239" s="3"/>
      <c r="AI239" s="3"/>
      <c r="AJ239" s="3"/>
      <c r="EO239" s="4"/>
      <c r="EP239" s="3"/>
      <c r="EQ239" s="4"/>
      <c r="ER239" s="4"/>
      <c r="ES239" s="4"/>
      <c r="ET239" s="4"/>
      <c r="EU239" s="4"/>
      <c r="EV239" s="4"/>
      <c r="EW239" s="4"/>
      <c r="EX239" s="3"/>
      <c r="GU239" s="4"/>
      <c r="GV239" s="4"/>
      <c r="GW239" s="4"/>
      <c r="GX239" s="4"/>
      <c r="GY239" s="4"/>
      <c r="GZ239" s="4"/>
      <c r="HA239" s="4"/>
      <c r="HB239" s="3"/>
      <c r="HC239" s="4"/>
      <c r="HD239" s="4"/>
      <c r="HE239" s="4"/>
      <c r="HF239" s="4"/>
      <c r="HG239" s="4"/>
      <c r="HH239" s="4"/>
    </row>
    <row r="240" spans="1:216" x14ac:dyDescent="0.2">
      <c r="A240" s="61"/>
      <c r="B240" s="61"/>
      <c r="C240" s="61"/>
      <c r="D240" s="31"/>
      <c r="E240" s="31"/>
      <c r="F240" s="31"/>
      <c r="G240" s="31"/>
      <c r="H240" s="31"/>
      <c r="I240" s="31"/>
      <c r="J240" s="61"/>
      <c r="K240" s="14"/>
      <c r="L240" s="14"/>
      <c r="M240" s="14"/>
      <c r="N240" s="31"/>
      <c r="O240" s="3"/>
      <c r="P240" s="3"/>
      <c r="AF240" s="3"/>
      <c r="AG240" s="3"/>
      <c r="AH240" s="3"/>
      <c r="AI240" s="3"/>
      <c r="AJ240" s="3"/>
      <c r="EO240" s="204"/>
      <c r="EP240" s="3"/>
      <c r="EQ240" s="203"/>
      <c r="ER240" s="5"/>
      <c r="ES240" s="203"/>
      <c r="ET240" s="203"/>
      <c r="EU240" s="6"/>
      <c r="EV240" s="6"/>
      <c r="EW240" s="204"/>
      <c r="EX240" s="3"/>
      <c r="GU240" s="4"/>
      <c r="GV240" s="4"/>
      <c r="GW240" s="4"/>
      <c r="GX240" s="4"/>
      <c r="GY240" s="4"/>
      <c r="GZ240" s="4"/>
      <c r="HA240" s="4"/>
      <c r="HB240" s="3"/>
      <c r="HC240" s="4"/>
      <c r="HD240" s="4"/>
      <c r="HE240" s="4"/>
      <c r="HF240" s="4"/>
      <c r="HG240" s="4"/>
      <c r="HH240" s="4"/>
    </row>
    <row r="241" spans="1:216" x14ac:dyDescent="0.2">
      <c r="A241" s="61"/>
      <c r="B241" s="61"/>
      <c r="C241" s="61"/>
      <c r="D241" s="31"/>
      <c r="E241" s="31"/>
      <c r="F241" s="31"/>
      <c r="G241" s="31"/>
      <c r="H241" s="31"/>
      <c r="I241" s="31"/>
      <c r="J241" s="15"/>
      <c r="K241" s="14"/>
      <c r="L241" s="14"/>
      <c r="M241" s="14"/>
      <c r="N241" s="15"/>
      <c r="O241" s="3"/>
      <c r="P241" s="3"/>
      <c r="AF241" s="3"/>
      <c r="AG241" s="3"/>
      <c r="AH241" s="3"/>
      <c r="AI241" s="3"/>
      <c r="AJ241" s="3"/>
      <c r="EO241" s="204"/>
      <c r="EP241" s="3"/>
      <c r="EQ241" s="203"/>
      <c r="ER241" s="5"/>
      <c r="ES241" s="203"/>
      <c r="ET241" s="203"/>
      <c r="EU241" s="6"/>
      <c r="EV241" s="6"/>
      <c r="EW241" s="204"/>
      <c r="EX241" s="3"/>
      <c r="GU241" s="203"/>
      <c r="GV241" s="5"/>
      <c r="GW241" s="203"/>
      <c r="GX241" s="203"/>
      <c r="GY241" s="6"/>
      <c r="GZ241" s="6"/>
      <c r="HA241" s="204"/>
      <c r="HB241" s="3"/>
      <c r="HC241" s="203"/>
      <c r="HD241" s="5"/>
      <c r="HE241" s="203"/>
      <c r="HF241" s="203"/>
      <c r="HG241" s="6"/>
      <c r="HH241" s="6"/>
    </row>
    <row r="242" spans="1:216" x14ac:dyDescent="0.2">
      <c r="A242" s="61"/>
      <c r="B242" s="61"/>
      <c r="C242" s="61"/>
      <c r="D242" s="31"/>
      <c r="E242" s="31"/>
      <c r="F242" s="31"/>
      <c r="G242" s="31"/>
      <c r="H242" s="31"/>
      <c r="I242" s="31"/>
      <c r="J242" s="15"/>
      <c r="K242" s="14"/>
      <c r="L242" s="14"/>
      <c r="M242" s="14"/>
      <c r="N242" s="15"/>
      <c r="O242" s="3"/>
      <c r="P242" s="3"/>
      <c r="AF242" s="3"/>
      <c r="AG242" s="3"/>
      <c r="AH242" s="3"/>
      <c r="AI242" s="3"/>
      <c r="AJ242" s="3"/>
      <c r="EO242" s="204"/>
      <c r="EP242" s="3"/>
      <c r="EQ242" s="203"/>
      <c r="ER242" s="5"/>
      <c r="ES242" s="203"/>
      <c r="ET242" s="203"/>
      <c r="EU242" s="6"/>
      <c r="EV242" s="6"/>
      <c r="EW242" s="204"/>
      <c r="EX242" s="3"/>
      <c r="GU242" s="203"/>
      <c r="GV242" s="5"/>
      <c r="GW242" s="203"/>
      <c r="GX242" s="203"/>
      <c r="GY242" s="6"/>
      <c r="GZ242" s="6"/>
      <c r="HA242" s="204"/>
      <c r="HB242" s="3"/>
      <c r="HC242" s="203"/>
      <c r="HD242" s="5"/>
      <c r="HE242" s="203"/>
      <c r="HF242" s="203"/>
      <c r="HG242" s="6"/>
      <c r="HH242" s="6"/>
    </row>
    <row r="243" spans="1:216" x14ac:dyDescent="0.2">
      <c r="A243" s="61"/>
      <c r="B243" s="61"/>
      <c r="C243" s="61"/>
      <c r="D243" s="31"/>
      <c r="E243" s="31"/>
      <c r="F243" s="31"/>
      <c r="G243" s="31"/>
      <c r="H243" s="31"/>
      <c r="I243" s="31"/>
      <c r="J243" s="15"/>
      <c r="K243" s="14"/>
      <c r="L243" s="14"/>
      <c r="M243" s="14"/>
      <c r="N243" s="15"/>
      <c r="O243" s="3"/>
      <c r="P243" s="3"/>
      <c r="AF243" s="3"/>
      <c r="AG243" s="3"/>
      <c r="AH243" s="3"/>
      <c r="AI243" s="3"/>
      <c r="AJ243" s="3"/>
      <c r="EO243" s="204"/>
      <c r="EP243" s="3"/>
      <c r="EQ243" s="203"/>
      <c r="ER243" s="5"/>
      <c r="ES243" s="203"/>
      <c r="ET243" s="203"/>
      <c r="EU243" s="6"/>
      <c r="EV243" s="6"/>
      <c r="EW243" s="204"/>
      <c r="EX243" s="3"/>
      <c r="GU243" s="203"/>
      <c r="GV243" s="5"/>
      <c r="GW243" s="203"/>
      <c r="GX243" s="203"/>
      <c r="GY243" s="6"/>
      <c r="GZ243" s="6"/>
      <c r="HA243" s="204"/>
      <c r="HB243" s="3"/>
      <c r="HC243" s="203"/>
      <c r="HD243" s="5"/>
      <c r="HE243" s="203"/>
      <c r="HF243" s="203"/>
      <c r="HG243" s="6"/>
      <c r="HH243" s="6"/>
    </row>
    <row r="244" spans="1:216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3"/>
      <c r="L244" s="13"/>
      <c r="M244" s="14"/>
      <c r="N244" s="15"/>
      <c r="O244" s="3"/>
      <c r="P244" s="3"/>
      <c r="AF244" s="3"/>
      <c r="AG244" s="3"/>
      <c r="AH244" s="3"/>
      <c r="AI244" s="3"/>
      <c r="AJ244" s="3"/>
      <c r="EO244" s="204"/>
      <c r="EP244" s="3"/>
      <c r="EQ244" s="203"/>
      <c r="ER244" s="5"/>
      <c r="ES244" s="203"/>
      <c r="ET244" s="203"/>
      <c r="EU244" s="6"/>
      <c r="EV244" s="6"/>
      <c r="EW244" s="204"/>
      <c r="EX244" s="3"/>
      <c r="GU244" s="203"/>
      <c r="GV244" s="5"/>
      <c r="GW244" s="203"/>
      <c r="GX244" s="203"/>
      <c r="GY244" s="6"/>
      <c r="GZ244" s="6"/>
      <c r="HA244" s="204"/>
      <c r="HB244" s="3"/>
      <c r="HC244" s="203"/>
      <c r="HD244" s="5"/>
      <c r="HE244" s="203"/>
      <c r="HF244" s="203"/>
      <c r="HG244" s="6"/>
      <c r="HH244" s="6"/>
    </row>
    <row r="245" spans="1:216" x14ac:dyDescent="0.2">
      <c r="A245" s="16"/>
      <c r="B245" s="16"/>
      <c r="C245" s="16"/>
      <c r="D245" s="15"/>
      <c r="E245" s="15"/>
      <c r="F245" s="15"/>
      <c r="G245" s="15"/>
      <c r="H245" s="15"/>
      <c r="I245" s="15"/>
      <c r="J245" s="16"/>
      <c r="K245" s="13"/>
      <c r="L245" s="13"/>
      <c r="M245" s="14"/>
      <c r="N245" s="15"/>
      <c r="O245" s="3"/>
      <c r="P245" s="3"/>
      <c r="AF245" s="3"/>
      <c r="AG245" s="3"/>
      <c r="AH245" s="3"/>
      <c r="AI245" s="3"/>
      <c r="AJ245" s="3"/>
      <c r="EO245" s="204"/>
      <c r="EP245" s="3"/>
      <c r="EQ245" s="203"/>
      <c r="ER245" s="5"/>
      <c r="ES245" s="203"/>
      <c r="ET245" s="203"/>
      <c r="EU245" s="6"/>
      <c r="EV245" s="6"/>
      <c r="EW245" s="204"/>
      <c r="EX245" s="3"/>
      <c r="GU245" s="203"/>
      <c r="GV245" s="5"/>
      <c r="GW245" s="203"/>
      <c r="GX245" s="203"/>
      <c r="GY245" s="6"/>
      <c r="GZ245" s="6"/>
      <c r="HA245" s="204"/>
      <c r="HB245" s="3"/>
      <c r="HC245" s="203"/>
      <c r="HD245" s="5"/>
      <c r="HE245" s="203"/>
      <c r="HF245" s="203"/>
      <c r="HG245" s="6"/>
      <c r="HH245" s="6"/>
    </row>
    <row r="246" spans="1:216" x14ac:dyDescent="0.2">
      <c r="A246" s="16"/>
      <c r="B246" s="16"/>
      <c r="C246" s="16"/>
      <c r="D246" s="15"/>
      <c r="E246" s="15"/>
      <c r="F246" s="15"/>
      <c r="G246" s="15"/>
      <c r="H246" s="15"/>
      <c r="I246" s="15"/>
      <c r="J246" s="16"/>
      <c r="K246" s="14"/>
      <c r="L246" s="14"/>
      <c r="M246" s="14"/>
      <c r="N246" s="15"/>
      <c r="O246" s="3"/>
      <c r="P246" s="3"/>
      <c r="AF246" s="3"/>
      <c r="AG246" s="3"/>
      <c r="AH246" s="3"/>
      <c r="AI246" s="3"/>
      <c r="AJ246" s="3"/>
      <c r="EO246" s="204"/>
      <c r="EP246" s="3"/>
      <c r="EQ246" s="203"/>
      <c r="ER246" s="5"/>
      <c r="ES246" s="203"/>
      <c r="ET246" s="203"/>
      <c r="EU246" s="6"/>
      <c r="EV246" s="6"/>
      <c r="EW246" s="204"/>
      <c r="EX246" s="3"/>
      <c r="GU246" s="203"/>
      <c r="GV246" s="5"/>
      <c r="GW246" s="203"/>
      <c r="GX246" s="203"/>
      <c r="GY246" s="6"/>
      <c r="GZ246" s="6"/>
      <c r="HA246" s="204"/>
      <c r="HB246" s="3"/>
      <c r="HC246" s="203"/>
      <c r="HD246" s="5"/>
      <c r="HE246" s="203"/>
      <c r="HF246" s="203"/>
      <c r="HG246" s="6"/>
      <c r="HH246" s="6"/>
    </row>
    <row r="247" spans="1:216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62"/>
      <c r="L247" s="62"/>
      <c r="M247" s="62"/>
      <c r="N247" s="15"/>
      <c r="O247" s="3"/>
      <c r="P247" s="3"/>
      <c r="AF247" s="3"/>
      <c r="AG247" s="3"/>
      <c r="AH247" s="3"/>
      <c r="AI247" s="3"/>
      <c r="AJ247" s="3"/>
      <c r="EO247" s="204"/>
      <c r="EP247" s="3"/>
      <c r="EQ247" s="203"/>
      <c r="ER247" s="5"/>
      <c r="ES247" s="203"/>
      <c r="ET247" s="203"/>
      <c r="EU247" s="6"/>
      <c r="EV247" s="6"/>
      <c r="EW247" s="204"/>
      <c r="EX247" s="3"/>
      <c r="GU247" s="203"/>
      <c r="GV247" s="5"/>
      <c r="GW247" s="203"/>
      <c r="GX247" s="203"/>
      <c r="GY247" s="6"/>
      <c r="GZ247" s="6"/>
      <c r="HA247" s="204"/>
      <c r="HB247" s="3"/>
      <c r="HC247" s="203"/>
      <c r="HD247" s="5"/>
      <c r="HE247" s="203"/>
      <c r="HF247" s="203"/>
      <c r="HG247" s="6"/>
      <c r="HH247" s="6"/>
    </row>
    <row r="248" spans="1:216" x14ac:dyDescent="0.2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62"/>
      <c r="L248" s="62"/>
      <c r="M248" s="62"/>
      <c r="N248" s="19"/>
      <c r="O248" s="3"/>
      <c r="P248" s="3"/>
      <c r="AF248" s="3"/>
      <c r="AG248" s="3"/>
      <c r="AH248" s="3"/>
      <c r="AI248" s="3"/>
      <c r="AJ248" s="3"/>
      <c r="EO248" s="204"/>
      <c r="EP248" s="3"/>
      <c r="EQ248" s="203"/>
      <c r="ER248" s="5"/>
      <c r="ES248" s="203"/>
      <c r="ET248" s="203"/>
      <c r="EU248" s="6"/>
      <c r="EV248" s="6"/>
      <c r="EW248" s="204"/>
      <c r="EX248" s="3"/>
      <c r="GU248" s="203"/>
      <c r="GV248" s="5"/>
      <c r="GW248" s="203"/>
      <c r="GX248" s="203"/>
      <c r="GY248" s="6"/>
      <c r="GZ248" s="6"/>
      <c r="HA248" s="204"/>
      <c r="HB248" s="3"/>
      <c r="HC248" s="203"/>
      <c r="HD248" s="5"/>
      <c r="HE248" s="203"/>
      <c r="HF248" s="203"/>
      <c r="HG248" s="6"/>
      <c r="HH248" s="6"/>
    </row>
    <row r="249" spans="1:216" x14ac:dyDescent="0.2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31"/>
      <c r="L249" s="31"/>
      <c r="M249" s="31"/>
      <c r="N249" s="19"/>
      <c r="O249" s="3"/>
      <c r="P249" s="3"/>
      <c r="AF249" s="3"/>
      <c r="AG249" s="3"/>
      <c r="AH249" s="3"/>
      <c r="AI249" s="3"/>
      <c r="AJ249" s="3"/>
      <c r="EO249" s="204"/>
      <c r="EP249" s="3"/>
      <c r="EQ249" s="203"/>
      <c r="ER249" s="5"/>
      <c r="ES249" s="203"/>
      <c r="ET249" s="203"/>
      <c r="EU249" s="6"/>
      <c r="EV249" s="6"/>
      <c r="EW249" s="204"/>
      <c r="EX249" s="3"/>
      <c r="GU249" s="203"/>
      <c r="GV249" s="5"/>
      <c r="GW249" s="203"/>
      <c r="GX249" s="203"/>
      <c r="GY249" s="6"/>
      <c r="GZ249" s="6"/>
      <c r="HA249" s="204"/>
      <c r="HB249" s="3"/>
      <c r="HC249" s="203"/>
      <c r="HD249" s="5"/>
      <c r="HE249" s="203"/>
      <c r="HF249" s="203"/>
      <c r="HG249" s="6"/>
      <c r="HH249" s="6"/>
    </row>
    <row r="250" spans="1:216" x14ac:dyDescent="0.2">
      <c r="A250" s="61"/>
      <c r="B250" s="61"/>
      <c r="C250" s="61"/>
      <c r="D250" s="31"/>
      <c r="E250" s="31"/>
      <c r="F250" s="31"/>
      <c r="G250" s="31"/>
      <c r="H250" s="31"/>
      <c r="I250" s="31"/>
      <c r="J250" s="61"/>
      <c r="K250" s="31"/>
      <c r="L250" s="31"/>
      <c r="M250" s="31"/>
      <c r="N250" s="31"/>
      <c r="O250" s="3"/>
      <c r="P250" s="3"/>
      <c r="AF250" s="3"/>
      <c r="AG250" s="3"/>
      <c r="AH250" s="3"/>
      <c r="AI250" s="3"/>
      <c r="AJ250" s="3"/>
      <c r="EO250" s="204"/>
      <c r="EP250" s="3"/>
      <c r="EQ250" s="203"/>
      <c r="ER250" s="5"/>
      <c r="ES250" s="203"/>
      <c r="ET250" s="203"/>
      <c r="EU250" s="6"/>
      <c r="EV250" s="6"/>
      <c r="EW250" s="204"/>
      <c r="EX250" s="3"/>
      <c r="GU250" s="203"/>
      <c r="GV250" s="5"/>
      <c r="GW250" s="203"/>
      <c r="GX250" s="203"/>
      <c r="GY250" s="6"/>
      <c r="GZ250" s="6"/>
      <c r="HA250" s="204"/>
      <c r="HB250" s="3"/>
      <c r="HC250" s="203"/>
      <c r="HD250" s="5"/>
      <c r="HE250" s="203"/>
      <c r="HF250" s="203"/>
      <c r="HG250" s="6"/>
      <c r="HH250" s="6"/>
    </row>
    <row r="251" spans="1:216" x14ac:dyDescent="0.2">
      <c r="A251" s="61"/>
      <c r="B251" s="61"/>
      <c r="C251" s="61"/>
      <c r="D251" s="31"/>
      <c r="E251" s="31"/>
      <c r="F251" s="31"/>
      <c r="G251" s="31"/>
      <c r="H251" s="31"/>
      <c r="I251" s="31"/>
      <c r="J251" s="61"/>
      <c r="K251" s="31"/>
      <c r="L251" s="31"/>
      <c r="M251" s="31"/>
      <c r="N251" s="31"/>
      <c r="O251" s="3"/>
      <c r="P251" s="3"/>
      <c r="AF251" s="3"/>
      <c r="AG251" s="3"/>
      <c r="AH251" s="3"/>
      <c r="AI251" s="3"/>
      <c r="AJ251" s="3"/>
      <c r="EO251" s="204"/>
      <c r="EP251" s="3"/>
      <c r="EQ251" s="203"/>
      <c r="ER251" s="5"/>
      <c r="ES251" s="203"/>
      <c r="ET251" s="203"/>
      <c r="EU251" s="6"/>
      <c r="EV251" s="6"/>
      <c r="EW251" s="204"/>
      <c r="EX251" s="3"/>
      <c r="GU251" s="203"/>
      <c r="GV251" s="5"/>
      <c r="GW251" s="203"/>
      <c r="GX251" s="203"/>
      <c r="GY251" s="6"/>
      <c r="GZ251" s="6"/>
      <c r="HA251" s="204"/>
      <c r="HB251" s="3"/>
      <c r="HC251" s="203"/>
      <c r="HD251" s="5"/>
      <c r="HE251" s="203"/>
      <c r="HF251" s="203"/>
      <c r="HG251" s="6"/>
      <c r="HH251" s="6"/>
    </row>
    <row r="252" spans="1:216" x14ac:dyDescent="0.2">
      <c r="A252" s="61"/>
      <c r="B252" s="61"/>
      <c r="C252" s="61"/>
      <c r="D252" s="31"/>
      <c r="E252" s="31"/>
      <c r="F252" s="31"/>
      <c r="G252" s="31"/>
      <c r="H252" s="31"/>
      <c r="I252" s="31"/>
      <c r="J252" s="61"/>
      <c r="K252" s="31"/>
      <c r="L252" s="31"/>
      <c r="M252" s="31"/>
      <c r="N252" s="31"/>
      <c r="O252" s="3"/>
      <c r="P252" s="3"/>
      <c r="AF252" s="3"/>
      <c r="AG252" s="3"/>
      <c r="AH252" s="3"/>
      <c r="AI252" s="3"/>
      <c r="AJ252" s="3"/>
      <c r="EO252" s="204"/>
      <c r="EP252" s="3"/>
      <c r="EQ252" s="203"/>
      <c r="ER252" s="5"/>
      <c r="ES252" s="203"/>
      <c r="ET252" s="203"/>
      <c r="EU252" s="6"/>
      <c r="EV252" s="6"/>
      <c r="EW252" s="204"/>
      <c r="EX252" s="3"/>
      <c r="GU252" s="203"/>
      <c r="GV252" s="5"/>
      <c r="GW252" s="203"/>
      <c r="GX252" s="203"/>
      <c r="GY252" s="6"/>
      <c r="GZ252" s="6"/>
      <c r="HA252" s="204"/>
      <c r="HB252" s="3"/>
      <c r="HC252" s="203"/>
      <c r="HD252" s="5"/>
      <c r="HE252" s="203"/>
      <c r="HF252" s="203"/>
      <c r="HG252" s="6"/>
      <c r="HH252" s="6"/>
    </row>
    <row r="253" spans="1:216" x14ac:dyDescent="0.2">
      <c r="A253" s="61"/>
      <c r="B253" s="61"/>
      <c r="C253" s="61"/>
      <c r="D253" s="31"/>
      <c r="E253" s="31"/>
      <c r="F253" s="31"/>
      <c r="G253" s="31"/>
      <c r="H253" s="31"/>
      <c r="I253" s="31"/>
      <c r="J253" s="61"/>
      <c r="K253" s="31"/>
      <c r="L253" s="31"/>
      <c r="M253" s="31"/>
      <c r="N253" s="31"/>
      <c r="O253" s="3"/>
      <c r="P253" s="3"/>
      <c r="AF253" s="3"/>
      <c r="AG253" s="3"/>
      <c r="AH253" s="3"/>
      <c r="AI253" s="3"/>
      <c r="AJ253" s="3"/>
      <c r="EO253" s="204"/>
      <c r="EP253" s="3"/>
      <c r="EQ253" s="203"/>
      <c r="ER253" s="5"/>
      <c r="ES253" s="203"/>
      <c r="ET253" s="203"/>
      <c r="EU253" s="6"/>
      <c r="EV253" s="6"/>
      <c r="EW253" s="204"/>
      <c r="EX253" s="3"/>
      <c r="GU253" s="203"/>
      <c r="GV253" s="5"/>
      <c r="GW253" s="203"/>
      <c r="GX253" s="203"/>
      <c r="GY253" s="6"/>
      <c r="GZ253" s="6"/>
      <c r="HA253" s="204"/>
      <c r="HB253" s="3"/>
      <c r="HC253" s="203"/>
      <c r="HD253" s="5"/>
      <c r="HE253" s="203"/>
      <c r="HF253" s="203"/>
      <c r="HG253" s="6"/>
      <c r="HH253" s="6"/>
    </row>
    <row r="254" spans="1:216" x14ac:dyDescent="0.2">
      <c r="A254" s="61"/>
      <c r="B254" s="61"/>
      <c r="C254" s="61"/>
      <c r="D254" s="31"/>
      <c r="E254" s="31"/>
      <c r="F254" s="31"/>
      <c r="G254" s="31"/>
      <c r="H254" s="31"/>
      <c r="I254" s="31"/>
      <c r="J254" s="61"/>
      <c r="K254" s="31"/>
      <c r="L254" s="31"/>
      <c r="M254" s="31"/>
      <c r="N254" s="31"/>
      <c r="O254" s="3"/>
      <c r="P254" s="3"/>
      <c r="AF254" s="3"/>
      <c r="AG254" s="3"/>
      <c r="AH254" s="3"/>
      <c r="AI254" s="3"/>
      <c r="AJ254" s="3"/>
      <c r="EO254" s="204"/>
      <c r="EP254" s="3"/>
      <c r="EQ254" s="203"/>
      <c r="ER254" s="5"/>
      <c r="ES254" s="203"/>
      <c r="ET254" s="203"/>
      <c r="EU254" s="6"/>
      <c r="EV254" s="6"/>
      <c r="EW254" s="204"/>
      <c r="EX254" s="3"/>
      <c r="GU254" s="203"/>
      <c r="GV254" s="5"/>
      <c r="GW254" s="203"/>
      <c r="GX254" s="203"/>
      <c r="GY254" s="6"/>
      <c r="GZ254" s="6"/>
      <c r="HA254" s="204"/>
      <c r="HB254" s="3"/>
      <c r="HC254" s="203"/>
      <c r="HD254" s="5"/>
      <c r="HE254" s="203"/>
      <c r="HF254" s="203"/>
      <c r="HG254" s="6"/>
      <c r="HH254" s="6"/>
    </row>
    <row r="255" spans="1:216" x14ac:dyDescent="0.2">
      <c r="A255" s="61"/>
      <c r="B255" s="61"/>
      <c r="C255" s="61"/>
      <c r="D255" s="31"/>
      <c r="E255" s="31"/>
      <c r="F255" s="31"/>
      <c r="G255" s="31"/>
      <c r="H255" s="31"/>
      <c r="I255" s="31"/>
      <c r="J255" s="61"/>
      <c r="K255" s="31"/>
      <c r="L255" s="31"/>
      <c r="M255" s="31"/>
      <c r="N255" s="31"/>
      <c r="O255" s="3"/>
      <c r="P255" s="3"/>
      <c r="AF255" s="3"/>
      <c r="AG255" s="3"/>
      <c r="AH255" s="3"/>
      <c r="AI255" s="3"/>
      <c r="AJ255" s="3"/>
      <c r="EO255" s="204"/>
      <c r="EP255" s="3"/>
      <c r="EQ255" s="203"/>
      <c r="ER255" s="5"/>
      <c r="ES255" s="203"/>
      <c r="ET255" s="203"/>
      <c r="EU255" s="6"/>
      <c r="EV255" s="6"/>
      <c r="EW255" s="204"/>
      <c r="EX255" s="3"/>
      <c r="GU255" s="203"/>
      <c r="GV255" s="5"/>
      <c r="GW255" s="203"/>
      <c r="GX255" s="203"/>
      <c r="GY255" s="6"/>
      <c r="GZ255" s="6"/>
      <c r="HA255" s="204"/>
      <c r="HB255" s="3"/>
      <c r="HC255" s="203"/>
      <c r="HD255" s="5"/>
      <c r="HE255" s="203"/>
      <c r="HF255" s="203"/>
      <c r="HG255" s="6"/>
      <c r="HH255" s="6"/>
    </row>
    <row r="256" spans="1:216" x14ac:dyDescent="0.2">
      <c r="A256" s="61"/>
      <c r="B256" s="61"/>
      <c r="C256" s="61"/>
      <c r="D256" s="31"/>
      <c r="E256" s="31"/>
      <c r="F256" s="31"/>
      <c r="G256" s="31"/>
      <c r="H256" s="31"/>
      <c r="I256" s="31"/>
      <c r="J256" s="61"/>
      <c r="K256" s="31"/>
      <c r="L256" s="31"/>
      <c r="M256" s="31"/>
      <c r="N256" s="31"/>
      <c r="O256" s="3"/>
      <c r="P256" s="3"/>
      <c r="AF256" s="3"/>
      <c r="AG256" s="3"/>
      <c r="AH256" s="3"/>
      <c r="AI256" s="3"/>
      <c r="AJ256" s="3"/>
      <c r="EO256" s="204"/>
      <c r="EP256" s="3"/>
      <c r="EQ256" s="203"/>
      <c r="ER256" s="5"/>
      <c r="ES256" s="203"/>
      <c r="ET256" s="203"/>
      <c r="EU256" s="6"/>
      <c r="EV256" s="6"/>
      <c r="EW256" s="204"/>
      <c r="EX256" s="3"/>
      <c r="GU256" s="203"/>
      <c r="GV256" s="5"/>
      <c r="GW256" s="203"/>
      <c r="GX256" s="203"/>
      <c r="GY256" s="6"/>
      <c r="GZ256" s="6"/>
      <c r="HA256" s="204"/>
      <c r="HB256" s="3"/>
      <c r="HC256" s="203"/>
      <c r="HD256" s="5"/>
      <c r="HE256" s="203"/>
      <c r="HF256" s="203"/>
      <c r="HG256" s="6"/>
      <c r="HH256" s="6"/>
    </row>
    <row r="257" spans="1:216" x14ac:dyDescent="0.2">
      <c r="A257" s="61"/>
      <c r="B257" s="61"/>
      <c r="C257" s="61"/>
      <c r="D257" s="31"/>
      <c r="E257" s="31"/>
      <c r="F257" s="31"/>
      <c r="G257" s="31"/>
      <c r="H257" s="31"/>
      <c r="I257" s="31"/>
      <c r="J257" s="61"/>
      <c r="K257" s="31"/>
      <c r="L257" s="31"/>
      <c r="M257" s="31"/>
      <c r="N257" s="31"/>
      <c r="O257" s="3"/>
      <c r="P257" s="3"/>
      <c r="AF257" s="3"/>
      <c r="AG257" s="3"/>
      <c r="AH257" s="3"/>
      <c r="AI257" s="3"/>
      <c r="AJ257" s="3"/>
      <c r="EO257" s="204"/>
      <c r="EP257" s="3"/>
      <c r="EQ257" s="203"/>
      <c r="ER257" s="5"/>
      <c r="ES257" s="203"/>
      <c r="ET257" s="203"/>
      <c r="EU257" s="6"/>
      <c r="EV257" s="6"/>
      <c r="EW257" s="204"/>
      <c r="EX257" s="3"/>
      <c r="GU257" s="203"/>
      <c r="GV257" s="5"/>
      <c r="GW257" s="203"/>
      <c r="GX257" s="203"/>
      <c r="GY257" s="6"/>
      <c r="GZ257" s="6"/>
      <c r="HA257" s="204"/>
      <c r="HB257" s="3"/>
      <c r="HC257" s="203"/>
      <c r="HD257" s="5"/>
      <c r="HE257" s="203"/>
      <c r="HF257" s="203"/>
      <c r="HG257" s="6"/>
      <c r="HH257" s="6"/>
    </row>
    <row r="258" spans="1:216" x14ac:dyDescent="0.2">
      <c r="A258" s="61"/>
      <c r="B258" s="61"/>
      <c r="C258" s="61"/>
      <c r="D258" s="31"/>
      <c r="E258" s="31"/>
      <c r="F258" s="31"/>
      <c r="G258" s="31"/>
      <c r="H258" s="31"/>
      <c r="I258" s="31"/>
      <c r="J258" s="61"/>
      <c r="K258" s="31"/>
      <c r="L258" s="31"/>
      <c r="M258" s="31"/>
      <c r="N258" s="31"/>
      <c r="O258" s="3"/>
      <c r="P258" s="3"/>
      <c r="AF258" s="3"/>
      <c r="AG258" s="3"/>
      <c r="AH258" s="3"/>
      <c r="AI258" s="3"/>
      <c r="AJ258" s="3"/>
      <c r="EO258" s="204"/>
      <c r="EP258" s="3"/>
      <c r="EQ258" s="203"/>
      <c r="ER258" s="5"/>
      <c r="ES258" s="203"/>
      <c r="ET258" s="203"/>
      <c r="EU258" s="6"/>
      <c r="EV258" s="6"/>
      <c r="EW258" s="204"/>
      <c r="EX258" s="3"/>
      <c r="GU258" s="203"/>
      <c r="GV258" s="5"/>
      <c r="GW258" s="203"/>
      <c r="GX258" s="203"/>
      <c r="GY258" s="6"/>
      <c r="GZ258" s="6"/>
      <c r="HA258" s="204"/>
      <c r="HB258" s="3"/>
      <c r="HC258" s="203"/>
      <c r="HD258" s="5"/>
      <c r="HE258" s="203"/>
      <c r="HF258" s="203"/>
      <c r="HG258" s="6"/>
      <c r="HH258" s="6"/>
    </row>
    <row r="259" spans="1:216" x14ac:dyDescent="0.2">
      <c r="A259" s="61"/>
      <c r="B259" s="61"/>
      <c r="C259" s="61"/>
      <c r="D259" s="31"/>
      <c r="E259" s="31"/>
      <c r="F259" s="31"/>
      <c r="G259" s="31"/>
      <c r="H259" s="31"/>
      <c r="I259" s="31"/>
      <c r="J259" s="61"/>
      <c r="K259" s="31"/>
      <c r="L259" s="31"/>
      <c r="M259" s="31"/>
      <c r="N259" s="31"/>
      <c r="O259" s="3"/>
      <c r="P259" s="3"/>
      <c r="AF259" s="3"/>
      <c r="AG259" s="3"/>
      <c r="AH259" s="3"/>
      <c r="AI259" s="3"/>
      <c r="AJ259" s="3"/>
      <c r="EO259" s="204"/>
      <c r="EP259" s="3"/>
      <c r="EQ259" s="203"/>
      <c r="ER259" s="5"/>
      <c r="ES259" s="203"/>
      <c r="ET259" s="203"/>
      <c r="EU259" s="6"/>
      <c r="EV259" s="6"/>
      <c r="EW259" s="204"/>
      <c r="EX259" s="3"/>
      <c r="GU259" s="203"/>
      <c r="GV259" s="5"/>
      <c r="GW259" s="203"/>
      <c r="GX259" s="203"/>
      <c r="GY259" s="6"/>
      <c r="GZ259" s="6"/>
      <c r="HA259" s="204"/>
      <c r="HB259" s="3"/>
      <c r="HC259" s="203"/>
      <c r="HD259" s="5"/>
      <c r="HE259" s="203"/>
      <c r="HF259" s="203"/>
      <c r="HG259" s="6"/>
      <c r="HH259" s="6"/>
    </row>
    <row r="260" spans="1:216" x14ac:dyDescent="0.2">
      <c r="A260" s="61"/>
      <c r="B260" s="61"/>
      <c r="C260" s="61"/>
      <c r="D260" s="31"/>
      <c r="E260" s="31"/>
      <c r="F260" s="31"/>
      <c r="G260" s="31"/>
      <c r="H260" s="31"/>
      <c r="I260" s="31"/>
      <c r="J260" s="61"/>
      <c r="K260" s="31"/>
      <c r="L260" s="31"/>
      <c r="M260" s="31"/>
      <c r="N260" s="31"/>
      <c r="O260" s="3"/>
      <c r="P260" s="3"/>
      <c r="AF260" s="3"/>
      <c r="AG260" s="3"/>
      <c r="AH260" s="3"/>
      <c r="AI260" s="3"/>
      <c r="AJ260" s="3"/>
      <c r="EO260" s="204"/>
      <c r="EP260" s="3"/>
      <c r="EQ260" s="203"/>
      <c r="ER260" s="5"/>
      <c r="ES260" s="203"/>
      <c r="ET260" s="203"/>
      <c r="EU260" s="6"/>
      <c r="EV260" s="6"/>
      <c r="EW260" s="204"/>
      <c r="EX260" s="3"/>
      <c r="GU260" s="203"/>
      <c r="GV260" s="5"/>
      <c r="GW260" s="203"/>
      <c r="GX260" s="203"/>
      <c r="GY260" s="6"/>
      <c r="GZ260" s="6"/>
      <c r="HA260" s="204"/>
      <c r="HB260" s="3"/>
      <c r="HC260" s="203"/>
      <c r="HD260" s="5"/>
      <c r="HE260" s="203"/>
      <c r="HF260" s="203"/>
      <c r="HG260" s="6"/>
      <c r="HH260" s="6"/>
    </row>
    <row r="261" spans="1:216" x14ac:dyDescent="0.2">
      <c r="A261" s="61"/>
      <c r="B261" s="61"/>
      <c r="C261" s="61"/>
      <c r="D261" s="31"/>
      <c r="E261" s="31"/>
      <c r="F261" s="31"/>
      <c r="G261" s="31"/>
      <c r="H261" s="31"/>
      <c r="I261" s="31"/>
      <c r="J261" s="61"/>
      <c r="K261" s="31"/>
      <c r="L261" s="31"/>
      <c r="M261" s="31"/>
      <c r="N261" s="31"/>
      <c r="O261" s="3"/>
      <c r="P261" s="3"/>
      <c r="AF261" s="3"/>
      <c r="AG261" s="3"/>
      <c r="AH261" s="3"/>
      <c r="AI261" s="3"/>
      <c r="AJ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GU261" s="203"/>
      <c r="GV261" s="5"/>
      <c r="GW261" s="203"/>
      <c r="GX261" s="203"/>
      <c r="GY261" s="6"/>
      <c r="GZ261" s="6"/>
      <c r="HA261" s="204"/>
      <c r="HB261" s="3"/>
      <c r="HC261" s="203"/>
      <c r="HD261" s="5"/>
      <c r="HE261" s="203"/>
      <c r="HF261" s="203"/>
      <c r="HG261" s="6"/>
      <c r="HH261" s="6"/>
    </row>
    <row r="262" spans="1:216" x14ac:dyDescent="0.2">
      <c r="A262" s="61"/>
      <c r="B262" s="61"/>
      <c r="C262" s="61"/>
      <c r="D262" s="31"/>
      <c r="E262" s="31"/>
      <c r="F262" s="31"/>
      <c r="G262" s="31"/>
      <c r="H262" s="31"/>
      <c r="I262" s="31"/>
      <c r="J262" s="61"/>
      <c r="K262" s="31"/>
      <c r="L262" s="31"/>
      <c r="M262" s="31"/>
      <c r="N262" s="31"/>
      <c r="O262" s="3"/>
      <c r="P262" s="3"/>
      <c r="AF262" s="3"/>
      <c r="AG262" s="3"/>
      <c r="AH262" s="3"/>
      <c r="AI262" s="3"/>
      <c r="AJ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</row>
    <row r="263" spans="1:216" x14ac:dyDescent="0.2">
      <c r="A263" s="61"/>
      <c r="B263" s="61"/>
      <c r="C263" s="61"/>
      <c r="D263" s="31"/>
      <c r="E263" s="31"/>
      <c r="F263" s="31"/>
      <c r="G263" s="31"/>
      <c r="H263" s="31"/>
      <c r="I263" s="31"/>
      <c r="J263" s="61"/>
      <c r="K263" s="31"/>
      <c r="L263" s="31"/>
      <c r="M263" s="31"/>
      <c r="N263" s="31"/>
      <c r="O263" s="3"/>
      <c r="P263" s="3"/>
      <c r="AF263" s="3"/>
      <c r="AG263" s="3"/>
      <c r="AH263" s="3"/>
      <c r="AI263" s="3"/>
      <c r="AJ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</row>
    <row r="264" spans="1:216" x14ac:dyDescent="0.2">
      <c r="A264" s="61"/>
      <c r="B264" s="61"/>
      <c r="C264" s="61"/>
      <c r="D264" s="31"/>
      <c r="E264" s="31"/>
      <c r="F264" s="31"/>
      <c r="G264" s="31"/>
      <c r="H264" s="31"/>
      <c r="I264" s="31"/>
      <c r="J264" s="61"/>
      <c r="K264" s="31"/>
      <c r="L264" s="31"/>
      <c r="M264" s="31"/>
      <c r="N264" s="31"/>
      <c r="O264" s="3"/>
      <c r="P264" s="3"/>
      <c r="AF264" s="3"/>
      <c r="AG264" s="3"/>
      <c r="AH264" s="3"/>
      <c r="AI264" s="3"/>
      <c r="AJ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</row>
    <row r="265" spans="1:216" x14ac:dyDescent="0.2">
      <c r="A265" s="61"/>
      <c r="B265" s="61"/>
      <c r="C265" s="61"/>
      <c r="D265" s="31"/>
      <c r="E265" s="31"/>
      <c r="F265" s="31"/>
      <c r="G265" s="31"/>
      <c r="H265" s="31"/>
      <c r="I265" s="31"/>
      <c r="J265" s="61"/>
      <c r="K265" s="31"/>
      <c r="L265" s="31"/>
      <c r="M265" s="31"/>
      <c r="N265" s="31"/>
      <c r="O265" s="3"/>
      <c r="P265" s="3"/>
      <c r="AF265" s="3"/>
      <c r="AG265" s="3"/>
      <c r="AH265" s="3"/>
      <c r="AI265" s="3"/>
      <c r="AJ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</row>
    <row r="266" spans="1:216" x14ac:dyDescent="0.2">
      <c r="A266" s="61"/>
      <c r="B266" s="61"/>
      <c r="C266" s="61"/>
      <c r="D266" s="31"/>
      <c r="E266" s="31"/>
      <c r="F266" s="31"/>
      <c r="G266" s="31"/>
      <c r="H266" s="31"/>
      <c r="I266" s="31"/>
      <c r="J266" s="61"/>
      <c r="K266" s="31"/>
      <c r="L266" s="31"/>
      <c r="M266" s="31"/>
      <c r="N266" s="31"/>
      <c r="O266" s="3"/>
      <c r="P266" s="3"/>
      <c r="AF266" s="3"/>
      <c r="AG266" s="3"/>
      <c r="AH266" s="3"/>
      <c r="AI266" s="3"/>
      <c r="AJ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</row>
    <row r="267" spans="1:216" x14ac:dyDescent="0.2">
      <c r="A267" s="61"/>
      <c r="B267" s="61"/>
      <c r="C267" s="61"/>
      <c r="D267" s="31"/>
      <c r="E267" s="31"/>
      <c r="F267" s="31"/>
      <c r="G267" s="31"/>
      <c r="H267" s="31"/>
      <c r="I267" s="31"/>
      <c r="J267" s="61"/>
      <c r="K267" s="14"/>
      <c r="L267" s="14"/>
      <c r="M267" s="14"/>
      <c r="N267" s="31"/>
      <c r="O267" s="3"/>
      <c r="P267" s="3"/>
      <c r="AF267" s="3"/>
      <c r="AG267" s="3"/>
      <c r="AH267" s="3"/>
      <c r="AI267" s="3"/>
      <c r="AJ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</row>
    <row r="268" spans="1:216" x14ac:dyDescent="0.2">
      <c r="A268" s="61"/>
      <c r="B268" s="61"/>
      <c r="C268" s="61"/>
      <c r="D268" s="31"/>
      <c r="E268" s="31"/>
      <c r="F268" s="31"/>
      <c r="G268" s="31"/>
      <c r="H268" s="31"/>
      <c r="I268" s="31"/>
      <c r="J268" s="15"/>
      <c r="K268" s="14"/>
      <c r="L268" s="14"/>
      <c r="M268" s="14"/>
      <c r="N268" s="15"/>
      <c r="O268" s="3"/>
      <c r="P268" s="3"/>
      <c r="AF268" s="3"/>
      <c r="AG268" s="3"/>
      <c r="AH268" s="3"/>
      <c r="AI268" s="3"/>
      <c r="AJ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</row>
    <row r="269" spans="1:216" x14ac:dyDescent="0.2">
      <c r="A269" s="61"/>
      <c r="B269" s="61"/>
      <c r="C269" s="61"/>
      <c r="D269" s="31"/>
      <c r="E269" s="31"/>
      <c r="F269" s="31"/>
      <c r="G269" s="31"/>
      <c r="H269" s="31"/>
      <c r="I269" s="31"/>
      <c r="J269" s="15"/>
      <c r="K269" s="14"/>
      <c r="L269" s="14"/>
      <c r="M269" s="14"/>
      <c r="N269" s="15"/>
      <c r="O269" s="3"/>
      <c r="P269" s="3"/>
      <c r="AF269" s="3"/>
      <c r="AG269" s="3"/>
      <c r="AH269" s="3"/>
      <c r="AI269" s="3"/>
      <c r="AJ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</row>
    <row r="270" spans="1:216" x14ac:dyDescent="0.2">
      <c r="A270" s="61"/>
      <c r="B270" s="61"/>
      <c r="C270" s="61"/>
      <c r="D270" s="31"/>
      <c r="E270" s="31"/>
      <c r="F270" s="31"/>
      <c r="G270" s="31"/>
      <c r="H270" s="31"/>
      <c r="I270" s="31"/>
      <c r="J270" s="15"/>
      <c r="K270" s="14"/>
      <c r="L270" s="14"/>
      <c r="M270" s="14"/>
      <c r="N270" s="15"/>
      <c r="O270" s="3"/>
      <c r="P270" s="3"/>
      <c r="AF270" s="3"/>
      <c r="AG270" s="3"/>
      <c r="AH270" s="3"/>
      <c r="AI270" s="3"/>
      <c r="AJ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</row>
    <row r="271" spans="1:216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3"/>
      <c r="L271" s="13"/>
      <c r="M271" s="14"/>
      <c r="N271" s="15"/>
      <c r="O271" s="3"/>
      <c r="P271" s="3"/>
      <c r="AF271" s="3"/>
      <c r="AG271" s="3"/>
      <c r="AH271" s="3"/>
      <c r="AI271" s="3"/>
      <c r="AJ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</row>
    <row r="272" spans="1:216" x14ac:dyDescent="0.2">
      <c r="A272" s="16"/>
      <c r="B272" s="16"/>
      <c r="C272" s="16"/>
      <c r="D272" s="15"/>
      <c r="E272" s="15"/>
      <c r="F272" s="15"/>
      <c r="G272" s="15"/>
      <c r="H272" s="15"/>
      <c r="I272" s="15"/>
      <c r="J272" s="16"/>
      <c r="K272" s="13"/>
      <c r="L272" s="13"/>
      <c r="M272" s="14"/>
      <c r="N272" s="15"/>
      <c r="O272" s="3"/>
      <c r="P272" s="3"/>
      <c r="AF272" s="3"/>
      <c r="AG272" s="3"/>
      <c r="AH272" s="3"/>
      <c r="AI272" s="3"/>
      <c r="AJ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</row>
    <row r="273" spans="1:216" x14ac:dyDescent="0.2">
      <c r="A273" s="16"/>
      <c r="B273" s="16"/>
      <c r="C273" s="16"/>
      <c r="D273" s="15"/>
      <c r="E273" s="15"/>
      <c r="F273" s="15"/>
      <c r="G273" s="15"/>
      <c r="H273" s="15"/>
      <c r="I273" s="15"/>
      <c r="J273" s="16"/>
      <c r="K273" s="14"/>
      <c r="L273" s="14"/>
      <c r="M273" s="14"/>
      <c r="N273" s="15"/>
      <c r="O273" s="3"/>
      <c r="P273" s="3"/>
      <c r="AF273" s="3"/>
      <c r="AG273" s="3"/>
      <c r="AH273" s="3"/>
      <c r="AI273" s="3"/>
      <c r="AJ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</row>
    <row r="274" spans="1:216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62"/>
      <c r="L274" s="62"/>
      <c r="M274" s="62"/>
      <c r="N274" s="15"/>
      <c r="O274" s="3"/>
      <c r="P274" s="3"/>
      <c r="AF274" s="3"/>
      <c r="AG274" s="3"/>
      <c r="AH274" s="3"/>
      <c r="AI274" s="3"/>
      <c r="AJ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</row>
    <row r="275" spans="1:216" x14ac:dyDescent="0.2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62"/>
      <c r="L275" s="62"/>
      <c r="M275" s="62"/>
      <c r="N275" s="19"/>
      <c r="O275" s="3"/>
      <c r="P275" s="3"/>
      <c r="AF275" s="3"/>
      <c r="AG275" s="3"/>
      <c r="AH275" s="3"/>
      <c r="AI275" s="3"/>
      <c r="AJ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</row>
    <row r="276" spans="1:216" x14ac:dyDescent="0.2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31"/>
      <c r="L276" s="31"/>
      <c r="M276" s="31"/>
      <c r="N276" s="19"/>
      <c r="O276" s="3"/>
      <c r="P276" s="3"/>
      <c r="AF276" s="3"/>
      <c r="AG276" s="3"/>
      <c r="AH276" s="3"/>
      <c r="AI276" s="3"/>
      <c r="AJ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</row>
    <row r="277" spans="1:216" x14ac:dyDescent="0.2">
      <c r="A277" s="61"/>
      <c r="B277" s="61"/>
      <c r="C277" s="61"/>
      <c r="D277" s="31"/>
      <c r="E277" s="31"/>
      <c r="F277" s="31"/>
      <c r="G277" s="31"/>
      <c r="H277" s="31"/>
      <c r="I277" s="31"/>
      <c r="J277" s="61"/>
      <c r="K277" s="31"/>
      <c r="L277" s="31"/>
      <c r="M277" s="31"/>
      <c r="N277" s="31"/>
      <c r="O277" s="3"/>
      <c r="P277" s="3"/>
      <c r="AF277" s="3"/>
      <c r="AG277" s="3"/>
      <c r="AH277" s="3"/>
      <c r="AI277" s="3"/>
      <c r="AJ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</row>
    <row r="278" spans="1:216" x14ac:dyDescent="0.2">
      <c r="A278" s="61"/>
      <c r="B278" s="61"/>
      <c r="C278" s="61"/>
      <c r="D278" s="31"/>
      <c r="E278" s="31"/>
      <c r="F278" s="31"/>
      <c r="G278" s="31"/>
      <c r="H278" s="31"/>
      <c r="I278" s="31"/>
      <c r="J278" s="61"/>
      <c r="K278" s="31"/>
      <c r="L278" s="31"/>
      <c r="M278" s="31"/>
      <c r="N278" s="31"/>
      <c r="O278" s="3"/>
      <c r="P278" s="3"/>
      <c r="AF278" s="3"/>
      <c r="AG278" s="3"/>
      <c r="AH278" s="3"/>
      <c r="AI278" s="3"/>
      <c r="AJ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</row>
    <row r="279" spans="1:216" x14ac:dyDescent="0.2">
      <c r="A279" s="61"/>
      <c r="B279" s="61"/>
      <c r="C279" s="61"/>
      <c r="D279" s="31"/>
      <c r="E279" s="31"/>
      <c r="F279" s="31"/>
      <c r="G279" s="31"/>
      <c r="H279" s="31"/>
      <c r="I279" s="31"/>
      <c r="J279" s="61"/>
      <c r="K279" s="31"/>
      <c r="L279" s="31"/>
      <c r="M279" s="31"/>
      <c r="N279" s="31"/>
      <c r="O279" s="3"/>
      <c r="P279" s="3"/>
      <c r="AF279" s="3"/>
      <c r="AG279" s="3"/>
      <c r="AH279" s="3"/>
      <c r="AI279" s="3"/>
      <c r="AJ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</row>
    <row r="280" spans="1:216" x14ac:dyDescent="0.2">
      <c r="A280" s="61"/>
      <c r="B280" s="61"/>
      <c r="C280" s="61"/>
      <c r="D280" s="31"/>
      <c r="E280" s="31"/>
      <c r="F280" s="31"/>
      <c r="G280" s="31"/>
      <c r="H280" s="31"/>
      <c r="I280" s="31"/>
      <c r="J280" s="61"/>
      <c r="K280" s="31"/>
      <c r="L280" s="31"/>
      <c r="M280" s="31"/>
      <c r="N280" s="31"/>
      <c r="O280" s="3"/>
      <c r="P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</row>
    <row r="281" spans="1:216" x14ac:dyDescent="0.2">
      <c r="A281" s="61"/>
      <c r="B281" s="61"/>
      <c r="C281" s="61"/>
      <c r="D281" s="31"/>
      <c r="E281" s="31"/>
      <c r="F281" s="31"/>
      <c r="G281" s="31"/>
      <c r="H281" s="31"/>
      <c r="I281" s="31"/>
      <c r="J281" s="61"/>
      <c r="K281" s="31"/>
      <c r="L281" s="31"/>
      <c r="M281" s="31"/>
      <c r="N281" s="31"/>
      <c r="O281" s="3"/>
      <c r="P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</row>
    <row r="282" spans="1:216" x14ac:dyDescent="0.2">
      <c r="A282" s="61"/>
      <c r="B282" s="61"/>
      <c r="C282" s="61"/>
      <c r="D282" s="31"/>
      <c r="E282" s="31"/>
      <c r="F282" s="31"/>
      <c r="G282" s="31"/>
      <c r="H282" s="31"/>
      <c r="I282" s="31"/>
      <c r="J282" s="61"/>
      <c r="K282" s="31"/>
      <c r="L282" s="31"/>
      <c r="M282" s="31"/>
      <c r="N282" s="31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</row>
    <row r="283" spans="1:216" x14ac:dyDescent="0.2">
      <c r="A283" s="61"/>
      <c r="B283" s="61"/>
      <c r="C283" s="61"/>
      <c r="D283" s="31"/>
      <c r="E283" s="31"/>
      <c r="F283" s="31"/>
      <c r="G283" s="31"/>
      <c r="H283" s="31"/>
      <c r="I283" s="31"/>
      <c r="J283" s="61"/>
      <c r="K283" s="31"/>
      <c r="L283" s="31"/>
      <c r="M283" s="31"/>
      <c r="N283" s="31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</row>
    <row r="284" spans="1:216" x14ac:dyDescent="0.2">
      <c r="A284" s="61"/>
      <c r="B284" s="61"/>
      <c r="C284" s="61"/>
      <c r="D284" s="31"/>
      <c r="E284" s="31"/>
      <c r="F284" s="31"/>
      <c r="G284" s="31"/>
      <c r="H284" s="31"/>
      <c r="I284" s="31"/>
      <c r="J284" s="61"/>
      <c r="K284" s="31"/>
      <c r="L284" s="31"/>
      <c r="M284" s="31"/>
      <c r="N284" s="31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</row>
    <row r="285" spans="1:216" x14ac:dyDescent="0.2">
      <c r="A285" s="61"/>
      <c r="B285" s="61"/>
      <c r="C285" s="61"/>
      <c r="D285" s="31"/>
      <c r="E285" s="31"/>
      <c r="F285" s="31"/>
      <c r="G285" s="31"/>
      <c r="H285" s="31"/>
      <c r="I285" s="31"/>
      <c r="J285" s="61"/>
      <c r="K285" s="31"/>
      <c r="L285" s="31"/>
      <c r="M285" s="31"/>
      <c r="N285" s="31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</row>
    <row r="286" spans="1:216" x14ac:dyDescent="0.2">
      <c r="A286" s="61"/>
      <c r="B286" s="61"/>
      <c r="C286" s="61"/>
      <c r="D286" s="31"/>
      <c r="E286" s="31"/>
      <c r="F286" s="31"/>
      <c r="G286" s="31"/>
      <c r="H286" s="31"/>
      <c r="I286" s="31"/>
      <c r="J286" s="61"/>
      <c r="K286" s="31"/>
      <c r="L286" s="31"/>
      <c r="M286" s="31"/>
      <c r="N286" s="31"/>
      <c r="O286" s="3"/>
      <c r="P286" s="3"/>
    </row>
    <row r="287" spans="1:216" x14ac:dyDescent="0.2">
      <c r="A287" s="61"/>
      <c r="B287" s="61"/>
      <c r="C287" s="61"/>
      <c r="D287" s="31"/>
      <c r="E287" s="31"/>
      <c r="F287" s="31"/>
      <c r="G287" s="31"/>
      <c r="H287" s="31"/>
      <c r="I287" s="31"/>
      <c r="J287" s="61"/>
      <c r="K287" s="31"/>
      <c r="L287" s="31"/>
      <c r="M287" s="31"/>
      <c r="N287" s="31"/>
      <c r="O287" s="3"/>
      <c r="P287" s="3"/>
    </row>
    <row r="288" spans="1:216" x14ac:dyDescent="0.2">
      <c r="A288" s="61"/>
      <c r="B288" s="61"/>
      <c r="C288" s="61"/>
      <c r="D288" s="31"/>
      <c r="E288" s="31"/>
      <c r="F288" s="31"/>
      <c r="G288" s="31"/>
      <c r="H288" s="31"/>
      <c r="I288" s="31"/>
      <c r="J288" s="61"/>
      <c r="K288" s="31"/>
      <c r="L288" s="31"/>
      <c r="M288" s="31"/>
      <c r="N288" s="31"/>
      <c r="O288" s="3"/>
      <c r="P288" s="3"/>
    </row>
    <row r="289" spans="1:16" x14ac:dyDescent="0.2">
      <c r="A289" s="61"/>
      <c r="B289" s="61"/>
      <c r="C289" s="61"/>
      <c r="D289" s="31"/>
      <c r="E289" s="31"/>
      <c r="F289" s="31"/>
      <c r="G289" s="31"/>
      <c r="H289" s="31"/>
      <c r="I289" s="31"/>
      <c r="J289" s="61"/>
      <c r="K289" s="31"/>
      <c r="L289" s="31"/>
      <c r="M289" s="31"/>
      <c r="N289" s="31"/>
      <c r="O289" s="3"/>
      <c r="P289" s="3"/>
    </row>
    <row r="290" spans="1:16" x14ac:dyDescent="0.2">
      <c r="A290" s="61"/>
      <c r="B290" s="61"/>
      <c r="C290" s="61"/>
      <c r="D290" s="31"/>
      <c r="E290" s="31"/>
      <c r="F290" s="31"/>
      <c r="G290" s="31"/>
      <c r="H290" s="31"/>
      <c r="I290" s="31"/>
      <c r="J290" s="61"/>
      <c r="K290" s="31"/>
      <c r="L290" s="31"/>
      <c r="M290" s="31"/>
      <c r="N290" s="31"/>
      <c r="O290" s="3"/>
      <c r="P290" s="3"/>
    </row>
    <row r="291" spans="1:16" x14ac:dyDescent="0.2">
      <c r="A291" s="61"/>
      <c r="B291" s="61"/>
      <c r="C291" s="61"/>
      <c r="D291" s="31"/>
      <c r="E291" s="31"/>
      <c r="F291" s="31"/>
      <c r="G291" s="31"/>
      <c r="H291" s="31"/>
      <c r="I291" s="31"/>
      <c r="J291" s="61"/>
      <c r="K291" s="31"/>
      <c r="L291" s="31"/>
      <c r="M291" s="31"/>
      <c r="N291" s="31"/>
      <c r="O291" s="3"/>
      <c r="P291" s="3"/>
    </row>
    <row r="292" spans="1:16" x14ac:dyDescent="0.2">
      <c r="A292" s="61"/>
      <c r="B292" s="61"/>
      <c r="C292" s="61"/>
      <c r="D292" s="31"/>
      <c r="E292" s="31"/>
      <c r="F292" s="31"/>
      <c r="G292" s="31"/>
      <c r="H292" s="31"/>
      <c r="I292" s="31"/>
      <c r="J292" s="61"/>
      <c r="K292" s="31"/>
      <c r="L292" s="31"/>
      <c r="M292" s="31"/>
      <c r="N292" s="31"/>
      <c r="O292" s="3"/>
      <c r="P292" s="3"/>
    </row>
    <row r="293" spans="1:16" x14ac:dyDescent="0.2">
      <c r="A293" s="61"/>
      <c r="B293" s="61"/>
      <c r="C293" s="61"/>
      <c r="D293" s="31"/>
      <c r="E293" s="31"/>
      <c r="F293" s="31"/>
      <c r="G293" s="31"/>
      <c r="H293" s="31"/>
      <c r="I293" s="31"/>
      <c r="J293" s="61"/>
      <c r="K293" s="31"/>
      <c r="L293" s="31"/>
      <c r="M293" s="31"/>
      <c r="N293" s="31"/>
      <c r="O293" s="3"/>
      <c r="P293" s="3"/>
    </row>
    <row r="294" spans="1:16" x14ac:dyDescent="0.2">
      <c r="A294" s="61"/>
      <c r="B294" s="61"/>
      <c r="C294" s="61"/>
      <c r="D294" s="31"/>
      <c r="E294" s="31"/>
      <c r="F294" s="31"/>
      <c r="G294" s="31"/>
      <c r="H294" s="31"/>
      <c r="I294" s="31"/>
      <c r="J294" s="61"/>
      <c r="K294" s="14"/>
      <c r="L294" s="14"/>
      <c r="M294" s="14"/>
      <c r="N294" s="31"/>
      <c r="O294" s="3"/>
      <c r="P294" s="3"/>
    </row>
    <row r="295" spans="1:16" x14ac:dyDescent="0.2">
      <c r="A295" s="61"/>
      <c r="B295" s="61"/>
      <c r="C295" s="61"/>
      <c r="D295" s="31"/>
      <c r="E295" s="31"/>
      <c r="F295" s="31"/>
      <c r="G295" s="31"/>
      <c r="H295" s="31"/>
      <c r="I295" s="31"/>
      <c r="J295" s="15"/>
      <c r="K295" s="14"/>
      <c r="L295" s="14"/>
      <c r="M295" s="14"/>
      <c r="N295" s="15"/>
      <c r="O295" s="3"/>
      <c r="P295" s="3"/>
    </row>
    <row r="296" spans="1:16" x14ac:dyDescent="0.2">
      <c r="A296" s="61"/>
      <c r="B296" s="61"/>
      <c r="C296" s="61"/>
      <c r="D296" s="31"/>
      <c r="E296" s="31"/>
      <c r="F296" s="31"/>
      <c r="G296" s="31"/>
      <c r="H296" s="31"/>
      <c r="I296" s="31"/>
      <c r="J296" s="15"/>
      <c r="K296" s="14"/>
      <c r="L296" s="14"/>
      <c r="M296" s="14"/>
      <c r="N296" s="15"/>
      <c r="O296" s="3"/>
      <c r="P296" s="3"/>
    </row>
    <row r="297" spans="1:16" x14ac:dyDescent="0.2">
      <c r="A297" s="61"/>
      <c r="B297" s="61"/>
      <c r="C297" s="61"/>
      <c r="D297" s="31"/>
      <c r="E297" s="31"/>
      <c r="F297" s="31"/>
      <c r="G297" s="31"/>
      <c r="H297" s="31"/>
      <c r="I297" s="31"/>
      <c r="J297" s="15"/>
      <c r="K297" s="14"/>
      <c r="L297" s="14"/>
      <c r="M297" s="14"/>
      <c r="N297" s="15"/>
      <c r="O297" s="3"/>
      <c r="P297" s="3"/>
    </row>
    <row r="298" spans="1:16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4"/>
      <c r="L298" s="14"/>
      <c r="M298" s="14"/>
      <c r="N298" s="15"/>
      <c r="O298" s="3"/>
      <c r="P298" s="3"/>
    </row>
    <row r="299" spans="1:16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3"/>
      <c r="L299" s="13"/>
      <c r="M299" s="14"/>
      <c r="N299" s="15"/>
      <c r="O299" s="3"/>
      <c r="P299" s="3"/>
    </row>
    <row r="300" spans="1:16" x14ac:dyDescent="0.2">
      <c r="A300" s="16"/>
      <c r="B300" s="16"/>
      <c r="C300" s="16"/>
      <c r="D300" s="15"/>
      <c r="E300" s="15"/>
      <c r="F300" s="15"/>
      <c r="G300" s="15"/>
      <c r="H300" s="15"/>
      <c r="I300" s="15"/>
      <c r="J300" s="16"/>
      <c r="K300" s="13"/>
      <c r="L300" s="13"/>
      <c r="M300" s="14"/>
      <c r="N300" s="15"/>
      <c r="O300" s="3"/>
      <c r="P300" s="3"/>
    </row>
    <row r="301" spans="1:16" x14ac:dyDescent="0.2">
      <c r="A301" s="16"/>
      <c r="B301" s="16"/>
      <c r="C301" s="16"/>
      <c r="D301" s="15"/>
      <c r="E301" s="15"/>
      <c r="F301" s="15"/>
      <c r="G301" s="15"/>
      <c r="H301" s="15"/>
      <c r="I301" s="15"/>
      <c r="J301" s="16"/>
      <c r="K301" s="14"/>
      <c r="L301" s="14"/>
      <c r="M301" s="14"/>
      <c r="N301" s="15"/>
      <c r="O301" s="3"/>
      <c r="P301" s="3"/>
    </row>
    <row r="302" spans="1:16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62"/>
      <c r="L302" s="62"/>
      <c r="M302" s="62"/>
      <c r="N302" s="15"/>
      <c r="O302" s="3"/>
      <c r="P302" s="3"/>
    </row>
    <row r="303" spans="1:16" x14ac:dyDescent="0.2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62"/>
      <c r="L303" s="62"/>
      <c r="M303" s="62"/>
      <c r="N303" s="19"/>
      <c r="O303" s="3"/>
      <c r="P303" s="3"/>
    </row>
    <row r="304" spans="1:16" x14ac:dyDescent="0.2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31"/>
      <c r="L304" s="31"/>
      <c r="M304" s="31"/>
      <c r="N304" s="19"/>
      <c r="O304" s="3"/>
      <c r="P304" s="3"/>
    </row>
    <row r="305" spans="1:16" x14ac:dyDescent="0.2">
      <c r="A305" s="61"/>
      <c r="B305" s="61"/>
      <c r="C305" s="61"/>
      <c r="D305" s="31"/>
      <c r="E305" s="31"/>
      <c r="F305" s="31"/>
      <c r="G305" s="31"/>
      <c r="H305" s="31"/>
      <c r="I305" s="31"/>
      <c r="J305" s="61"/>
      <c r="K305" s="31"/>
      <c r="L305" s="31"/>
      <c r="M305" s="31"/>
      <c r="N305" s="31"/>
      <c r="O305" s="3"/>
      <c r="P305" s="3"/>
    </row>
    <row r="306" spans="1:16" x14ac:dyDescent="0.2">
      <c r="A306" s="61"/>
      <c r="B306" s="61"/>
      <c r="C306" s="61"/>
      <c r="D306" s="31"/>
      <c r="E306" s="31"/>
      <c r="F306" s="31"/>
      <c r="G306" s="31"/>
      <c r="H306" s="31"/>
      <c r="I306" s="31"/>
      <c r="J306" s="61"/>
      <c r="K306" s="31"/>
      <c r="L306" s="31"/>
      <c r="M306" s="31"/>
      <c r="N306" s="31"/>
      <c r="O306" s="3"/>
      <c r="P306" s="3"/>
    </row>
    <row r="307" spans="1:16" x14ac:dyDescent="0.2">
      <c r="A307" s="61"/>
      <c r="B307" s="61"/>
      <c r="C307" s="61"/>
      <c r="D307" s="31"/>
      <c r="E307" s="31"/>
      <c r="F307" s="31"/>
      <c r="G307" s="31"/>
      <c r="H307" s="31"/>
      <c r="I307" s="31"/>
      <c r="J307" s="61"/>
      <c r="K307" s="31"/>
      <c r="L307" s="31"/>
      <c r="M307" s="31"/>
      <c r="N307" s="31"/>
      <c r="O307" s="3"/>
      <c r="P307" s="3"/>
    </row>
    <row r="308" spans="1:16" x14ac:dyDescent="0.2">
      <c r="A308" s="61"/>
      <c r="B308" s="61"/>
      <c r="C308" s="61"/>
      <c r="D308" s="31"/>
      <c r="E308" s="31"/>
      <c r="F308" s="31"/>
      <c r="G308" s="31"/>
      <c r="H308" s="31"/>
      <c r="I308" s="31"/>
      <c r="J308" s="61"/>
      <c r="K308" s="31"/>
      <c r="L308" s="31"/>
      <c r="M308" s="31"/>
      <c r="N308" s="31"/>
      <c r="O308" s="3"/>
      <c r="P308" s="3"/>
    </row>
    <row r="309" spans="1:16" x14ac:dyDescent="0.2">
      <c r="A309" s="61"/>
      <c r="B309" s="61"/>
      <c r="C309" s="61"/>
      <c r="D309" s="31"/>
      <c r="E309" s="31"/>
      <c r="F309" s="31"/>
      <c r="G309" s="31"/>
      <c r="H309" s="31"/>
      <c r="I309" s="31"/>
      <c r="J309" s="61"/>
      <c r="K309" s="31"/>
      <c r="L309" s="31"/>
      <c r="M309" s="31"/>
      <c r="N309" s="31"/>
      <c r="O309" s="3"/>
      <c r="P309" s="3"/>
    </row>
    <row r="310" spans="1:16" x14ac:dyDescent="0.2">
      <c r="A310" s="61"/>
      <c r="B310" s="61"/>
      <c r="C310" s="61"/>
      <c r="D310" s="31"/>
      <c r="E310" s="31"/>
      <c r="F310" s="31"/>
      <c r="G310" s="31"/>
      <c r="H310" s="31"/>
      <c r="I310" s="31"/>
      <c r="J310" s="61"/>
      <c r="K310" s="31"/>
      <c r="L310" s="31"/>
      <c r="M310" s="31"/>
      <c r="N310" s="31"/>
      <c r="O310" s="3"/>
      <c r="P310" s="3"/>
    </row>
    <row r="311" spans="1:16" x14ac:dyDescent="0.2">
      <c r="A311" s="61"/>
      <c r="B311" s="61"/>
      <c r="C311" s="61"/>
      <c r="D311" s="31"/>
      <c r="E311" s="31"/>
      <c r="F311" s="31"/>
      <c r="G311" s="31"/>
      <c r="H311" s="31"/>
      <c r="I311" s="31"/>
      <c r="J311" s="61"/>
      <c r="K311" s="31"/>
      <c r="L311" s="31"/>
      <c r="M311" s="31"/>
      <c r="N311" s="31"/>
      <c r="O311" s="3"/>
      <c r="P311" s="3"/>
    </row>
    <row r="312" spans="1:16" x14ac:dyDescent="0.2">
      <c r="A312" s="61"/>
      <c r="B312" s="61"/>
      <c r="C312" s="61"/>
      <c r="D312" s="31"/>
      <c r="E312" s="31"/>
      <c r="F312" s="31"/>
      <c r="G312" s="31"/>
      <c r="H312" s="31"/>
      <c r="I312" s="31"/>
      <c r="J312" s="61"/>
      <c r="K312" s="31"/>
      <c r="L312" s="31"/>
      <c r="M312" s="31"/>
      <c r="N312" s="31"/>
      <c r="O312" s="3"/>
      <c r="P312" s="3"/>
    </row>
    <row r="313" spans="1:16" x14ac:dyDescent="0.2">
      <c r="A313" s="61"/>
      <c r="B313" s="61"/>
      <c r="C313" s="61"/>
      <c r="D313" s="31"/>
      <c r="E313" s="31"/>
      <c r="F313" s="31"/>
      <c r="G313" s="31"/>
      <c r="H313" s="31"/>
      <c r="I313" s="31"/>
      <c r="J313" s="61"/>
      <c r="K313" s="31"/>
      <c r="L313" s="31"/>
      <c r="M313" s="31"/>
      <c r="N313" s="31"/>
      <c r="O313" s="3"/>
      <c r="P313" s="3"/>
    </row>
    <row r="314" spans="1:16" x14ac:dyDescent="0.2">
      <c r="A314" s="61"/>
      <c r="B314" s="61"/>
      <c r="C314" s="61"/>
      <c r="D314" s="31"/>
      <c r="E314" s="31"/>
      <c r="F314" s="31"/>
      <c r="G314" s="31"/>
      <c r="H314" s="31"/>
      <c r="I314" s="31"/>
      <c r="J314" s="61"/>
      <c r="K314" s="31"/>
      <c r="L314" s="31"/>
      <c r="M314" s="31"/>
      <c r="N314" s="31"/>
      <c r="O314" s="3"/>
      <c r="P314" s="3"/>
    </row>
    <row r="315" spans="1:16" x14ac:dyDescent="0.2">
      <c r="A315" s="61"/>
      <c r="B315" s="61"/>
      <c r="C315" s="61"/>
      <c r="D315" s="31"/>
      <c r="E315" s="31"/>
      <c r="F315" s="31"/>
      <c r="G315" s="31"/>
      <c r="H315" s="31"/>
      <c r="I315" s="31"/>
      <c r="J315" s="61"/>
      <c r="K315" s="31"/>
      <c r="L315" s="31"/>
      <c r="M315" s="31"/>
      <c r="N315" s="31"/>
      <c r="O315" s="3"/>
      <c r="P315" s="3"/>
    </row>
    <row r="316" spans="1:16" x14ac:dyDescent="0.2">
      <c r="A316" s="61"/>
      <c r="B316" s="61"/>
      <c r="C316" s="61"/>
      <c r="D316" s="31"/>
      <c r="E316" s="31"/>
      <c r="F316" s="31"/>
      <c r="G316" s="31"/>
      <c r="H316" s="31"/>
      <c r="I316" s="31"/>
      <c r="J316" s="61"/>
      <c r="K316" s="31"/>
      <c r="L316" s="31"/>
      <c r="M316" s="31"/>
      <c r="N316" s="31"/>
      <c r="O316" s="3"/>
      <c r="P316" s="3"/>
    </row>
    <row r="317" spans="1:16" x14ac:dyDescent="0.2">
      <c r="A317" s="61"/>
      <c r="B317" s="61"/>
      <c r="C317" s="61"/>
      <c r="D317" s="31"/>
      <c r="E317" s="31"/>
      <c r="F317" s="31"/>
      <c r="G317" s="31"/>
      <c r="H317" s="31"/>
      <c r="I317" s="31"/>
      <c r="J317" s="61"/>
      <c r="K317" s="31"/>
      <c r="L317" s="31"/>
      <c r="M317" s="31"/>
      <c r="N317" s="31"/>
      <c r="O317" s="3"/>
      <c r="P317" s="3"/>
    </row>
    <row r="318" spans="1:16" x14ac:dyDescent="0.2">
      <c r="A318" s="61"/>
      <c r="B318" s="61"/>
      <c r="C318" s="61"/>
      <c r="D318" s="31"/>
      <c r="E318" s="31"/>
      <c r="F318" s="31"/>
      <c r="G318" s="31"/>
      <c r="H318" s="31"/>
      <c r="I318" s="31"/>
      <c r="J318" s="61"/>
      <c r="K318" s="31"/>
      <c r="L318" s="31"/>
      <c r="M318" s="31"/>
      <c r="N318" s="31"/>
      <c r="O318" s="3"/>
      <c r="P318" s="3"/>
    </row>
    <row r="319" spans="1:16" x14ac:dyDescent="0.2">
      <c r="A319" s="61"/>
      <c r="B319" s="61"/>
      <c r="C319" s="61"/>
      <c r="D319" s="31"/>
      <c r="E319" s="31"/>
      <c r="F319" s="31"/>
      <c r="G319" s="31"/>
      <c r="H319" s="31"/>
      <c r="I319" s="31"/>
      <c r="J319" s="61"/>
      <c r="K319" s="31"/>
      <c r="L319" s="31"/>
      <c r="M319" s="31"/>
      <c r="N319" s="31"/>
      <c r="O319" s="3"/>
      <c r="P319" s="3"/>
    </row>
    <row r="320" spans="1:16" x14ac:dyDescent="0.2">
      <c r="A320" s="61"/>
      <c r="B320" s="61"/>
      <c r="C320" s="61"/>
      <c r="D320" s="31"/>
      <c r="E320" s="31"/>
      <c r="F320" s="31"/>
      <c r="G320" s="31"/>
      <c r="H320" s="31"/>
      <c r="I320" s="31"/>
      <c r="J320" s="61"/>
      <c r="K320" s="31"/>
      <c r="L320" s="31"/>
      <c r="M320" s="31"/>
      <c r="N320" s="31"/>
      <c r="O320" s="3"/>
      <c r="P320" s="3"/>
    </row>
    <row r="321" spans="1:16" x14ac:dyDescent="0.2">
      <c r="A321" s="61"/>
      <c r="B321" s="61"/>
      <c r="C321" s="61"/>
      <c r="D321" s="31"/>
      <c r="E321" s="31"/>
      <c r="F321" s="31"/>
      <c r="G321" s="31"/>
      <c r="H321" s="31"/>
      <c r="I321" s="31"/>
      <c r="J321" s="61"/>
      <c r="K321" s="31"/>
      <c r="L321" s="31"/>
      <c r="M321" s="31"/>
      <c r="N321" s="31"/>
      <c r="O321" s="3"/>
      <c r="P321" s="3"/>
    </row>
    <row r="322" spans="1:16" x14ac:dyDescent="0.2">
      <c r="A322" s="61"/>
      <c r="B322" s="61"/>
      <c r="C322" s="61"/>
      <c r="D322" s="31"/>
      <c r="E322" s="31"/>
      <c r="F322" s="31"/>
      <c r="G322" s="31"/>
      <c r="H322" s="31"/>
      <c r="I322" s="31"/>
      <c r="J322" s="61"/>
      <c r="K322" s="14"/>
      <c r="L322" s="14"/>
      <c r="M322" s="14"/>
      <c r="N322" s="31"/>
      <c r="O322" s="3"/>
      <c r="P322" s="3"/>
    </row>
    <row r="323" spans="1:16" x14ac:dyDescent="0.2">
      <c r="A323" s="61"/>
      <c r="B323" s="61"/>
      <c r="C323" s="61"/>
      <c r="D323" s="31"/>
      <c r="E323" s="31"/>
      <c r="F323" s="31"/>
      <c r="G323" s="31"/>
      <c r="H323" s="31"/>
      <c r="I323" s="31"/>
      <c r="J323" s="15"/>
      <c r="K323" s="14"/>
      <c r="L323" s="14"/>
      <c r="M323" s="14"/>
      <c r="N323" s="15"/>
      <c r="O323" s="3"/>
      <c r="P323" s="3"/>
    </row>
    <row r="324" spans="1:16" x14ac:dyDescent="0.2">
      <c r="A324" s="61"/>
      <c r="B324" s="61"/>
      <c r="C324" s="61"/>
      <c r="D324" s="31"/>
      <c r="E324" s="31"/>
      <c r="F324" s="31"/>
      <c r="G324" s="31"/>
      <c r="H324" s="31"/>
      <c r="I324" s="31"/>
      <c r="J324" s="15"/>
      <c r="K324" s="14"/>
      <c r="L324" s="14"/>
      <c r="M324" s="14"/>
      <c r="N324" s="15"/>
      <c r="O324" s="3"/>
      <c r="P324" s="3"/>
    </row>
    <row r="325" spans="1:16" x14ac:dyDescent="0.2">
      <c r="A325" s="61"/>
      <c r="B325" s="61"/>
      <c r="C325" s="61"/>
      <c r="D325" s="31"/>
      <c r="E325" s="31"/>
      <c r="F325" s="31"/>
      <c r="G325" s="31"/>
      <c r="H325" s="31"/>
      <c r="I325" s="31"/>
      <c r="J325" s="15"/>
      <c r="K325" s="14"/>
      <c r="L325" s="14"/>
      <c r="M325" s="14"/>
      <c r="N325" s="15"/>
      <c r="O325" s="3"/>
      <c r="P325" s="3"/>
    </row>
    <row r="326" spans="1:16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3"/>
      <c r="L326" s="13"/>
      <c r="M326" s="14"/>
      <c r="N326" s="15"/>
      <c r="O326" s="3"/>
      <c r="P326" s="3"/>
    </row>
    <row r="327" spans="1:16" x14ac:dyDescent="0.2">
      <c r="A327" s="16"/>
      <c r="B327" s="16"/>
      <c r="C327" s="16"/>
      <c r="D327" s="15"/>
      <c r="E327" s="15"/>
      <c r="F327" s="15"/>
      <c r="G327" s="15"/>
      <c r="H327" s="15"/>
      <c r="I327" s="15"/>
      <c r="J327" s="16"/>
      <c r="K327" s="13"/>
      <c r="L327" s="13"/>
      <c r="M327" s="14"/>
      <c r="N327" s="15"/>
      <c r="O327" s="3"/>
      <c r="P327" s="3"/>
    </row>
    <row r="328" spans="1:16" x14ac:dyDescent="0.2">
      <c r="A328" s="16"/>
      <c r="B328" s="16"/>
      <c r="C328" s="16"/>
      <c r="D328" s="15"/>
      <c r="E328" s="15"/>
      <c r="F328" s="15"/>
      <c r="G328" s="15"/>
      <c r="H328" s="15"/>
      <c r="I328" s="15"/>
      <c r="J328" s="16"/>
      <c r="K328" s="14"/>
      <c r="L328" s="14"/>
      <c r="M328" s="14"/>
      <c r="N328" s="15"/>
      <c r="O328" s="3"/>
      <c r="P328" s="3"/>
    </row>
    <row r="329" spans="1:16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62"/>
      <c r="L329" s="62"/>
      <c r="M329" s="62"/>
      <c r="N329" s="15"/>
      <c r="O329" s="3"/>
      <c r="P329" s="3"/>
    </row>
    <row r="330" spans="1:16" x14ac:dyDescent="0.2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62"/>
      <c r="L330" s="62"/>
      <c r="M330" s="62"/>
      <c r="N330" s="19"/>
      <c r="O330" s="3"/>
      <c r="P330" s="3"/>
    </row>
    <row r="331" spans="1:16" x14ac:dyDescent="0.2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31"/>
      <c r="L331" s="31"/>
      <c r="M331" s="31"/>
      <c r="N331" s="19"/>
      <c r="O331" s="3"/>
      <c r="P331" s="3"/>
    </row>
    <row r="332" spans="1:16" x14ac:dyDescent="0.2">
      <c r="A332" s="61"/>
      <c r="B332" s="61"/>
      <c r="C332" s="61"/>
      <c r="D332" s="31"/>
      <c r="E332" s="31"/>
      <c r="F332" s="31"/>
      <c r="G332" s="31"/>
      <c r="H332" s="31"/>
      <c r="I332" s="31"/>
      <c r="J332" s="61"/>
      <c r="K332" s="31"/>
      <c r="L332" s="31"/>
      <c r="M332" s="31"/>
      <c r="N332" s="31"/>
      <c r="O332" s="3"/>
      <c r="P332" s="3"/>
    </row>
    <row r="333" spans="1:16" x14ac:dyDescent="0.2">
      <c r="A333" s="61"/>
      <c r="B333" s="61"/>
      <c r="C333" s="61"/>
      <c r="D333" s="31"/>
      <c r="E333" s="31"/>
      <c r="F333" s="31"/>
      <c r="G333" s="31"/>
      <c r="H333" s="31"/>
      <c r="I333" s="31"/>
      <c r="J333" s="61"/>
      <c r="K333" s="31"/>
      <c r="L333" s="31"/>
      <c r="M333" s="31"/>
      <c r="N333" s="31"/>
      <c r="O333" s="3"/>
      <c r="P333" s="3"/>
    </row>
    <row r="334" spans="1:16" x14ac:dyDescent="0.2">
      <c r="A334" s="61"/>
      <c r="B334" s="61"/>
      <c r="C334" s="61"/>
      <c r="D334" s="31"/>
      <c r="E334" s="31"/>
      <c r="F334" s="31"/>
      <c r="G334" s="31"/>
      <c r="H334" s="31"/>
      <c r="I334" s="31"/>
      <c r="J334" s="61"/>
      <c r="K334" s="31"/>
      <c r="L334" s="31"/>
      <c r="M334" s="31"/>
      <c r="N334" s="31"/>
      <c r="O334" s="3"/>
      <c r="P334" s="3"/>
    </row>
    <row r="335" spans="1:16" x14ac:dyDescent="0.2">
      <c r="A335" s="61"/>
      <c r="B335" s="61"/>
      <c r="C335" s="61"/>
      <c r="D335" s="31"/>
      <c r="E335" s="31"/>
      <c r="F335" s="31"/>
      <c r="G335" s="31"/>
      <c r="H335" s="31"/>
      <c r="I335" s="31"/>
      <c r="J335" s="61"/>
      <c r="K335" s="31"/>
      <c r="L335" s="31"/>
      <c r="M335" s="31"/>
      <c r="N335" s="31"/>
      <c r="O335" s="3"/>
      <c r="P335" s="3"/>
    </row>
    <row r="336" spans="1:16" x14ac:dyDescent="0.2">
      <c r="A336" s="61"/>
      <c r="B336" s="61"/>
      <c r="C336" s="61"/>
      <c r="D336" s="31"/>
      <c r="E336" s="31"/>
      <c r="F336" s="31"/>
      <c r="G336" s="31"/>
      <c r="H336" s="31"/>
      <c r="I336" s="31"/>
      <c r="J336" s="61"/>
      <c r="K336" s="31"/>
      <c r="L336" s="31"/>
      <c r="M336" s="31"/>
      <c r="N336" s="31"/>
      <c r="O336" s="3"/>
      <c r="P336" s="3"/>
    </row>
    <row r="337" spans="1:16" x14ac:dyDescent="0.2">
      <c r="A337" s="61"/>
      <c r="B337" s="61"/>
      <c r="C337" s="61"/>
      <c r="D337" s="31"/>
      <c r="E337" s="31"/>
      <c r="F337" s="31"/>
      <c r="G337" s="31"/>
      <c r="H337" s="31"/>
      <c r="I337" s="31"/>
      <c r="J337" s="61"/>
      <c r="K337" s="31"/>
      <c r="L337" s="31"/>
      <c r="M337" s="31"/>
      <c r="N337" s="31"/>
      <c r="O337" s="3"/>
      <c r="P337" s="3"/>
    </row>
    <row r="338" spans="1:16" x14ac:dyDescent="0.2">
      <c r="A338" s="61"/>
      <c r="B338" s="61"/>
      <c r="C338" s="61"/>
      <c r="D338" s="31"/>
      <c r="E338" s="31"/>
      <c r="F338" s="31"/>
      <c r="G338" s="31"/>
      <c r="H338" s="31"/>
      <c r="I338" s="31"/>
      <c r="J338" s="61"/>
      <c r="K338" s="31"/>
      <c r="L338" s="31"/>
      <c r="M338" s="31"/>
      <c r="N338" s="31"/>
      <c r="O338" s="3"/>
      <c r="P338" s="3"/>
    </row>
    <row r="339" spans="1:16" x14ac:dyDescent="0.2">
      <c r="A339" s="61"/>
      <c r="B339" s="61"/>
      <c r="C339" s="61"/>
      <c r="D339" s="31"/>
      <c r="E339" s="31"/>
      <c r="F339" s="31"/>
      <c r="G339" s="31"/>
      <c r="H339" s="31"/>
      <c r="I339" s="31"/>
      <c r="J339" s="61"/>
      <c r="K339" s="31"/>
      <c r="L339" s="31"/>
      <c r="M339" s="31"/>
      <c r="N339" s="31"/>
      <c r="O339" s="3"/>
      <c r="P339" s="3"/>
    </row>
    <row r="340" spans="1:16" x14ac:dyDescent="0.2">
      <c r="A340" s="61"/>
      <c r="B340" s="61"/>
      <c r="C340" s="61"/>
      <c r="D340" s="31"/>
      <c r="E340" s="31"/>
      <c r="F340" s="31"/>
      <c r="G340" s="31"/>
      <c r="H340" s="31"/>
      <c r="I340" s="31"/>
      <c r="J340" s="61"/>
      <c r="K340" s="31"/>
      <c r="L340" s="31"/>
      <c r="M340" s="31"/>
      <c r="N340" s="31"/>
      <c r="O340" s="3"/>
      <c r="P340" s="3"/>
    </row>
    <row r="341" spans="1:16" x14ac:dyDescent="0.2">
      <c r="A341" s="61"/>
      <c r="B341" s="61"/>
      <c r="C341" s="61"/>
      <c r="D341" s="31"/>
      <c r="E341" s="31"/>
      <c r="F341" s="31"/>
      <c r="G341" s="31"/>
      <c r="H341" s="31"/>
      <c r="I341" s="31"/>
      <c r="J341" s="61"/>
      <c r="K341" s="31"/>
      <c r="L341" s="31"/>
      <c r="M341" s="31"/>
      <c r="N341" s="31"/>
      <c r="O341" s="3"/>
      <c r="P341" s="3"/>
    </row>
    <row r="342" spans="1:16" x14ac:dyDescent="0.2">
      <c r="A342" s="61"/>
      <c r="B342" s="61"/>
      <c r="C342" s="61"/>
      <c r="D342" s="31"/>
      <c r="E342" s="31"/>
      <c r="F342" s="31"/>
      <c r="G342" s="31"/>
      <c r="H342" s="31"/>
      <c r="I342" s="31"/>
      <c r="J342" s="61"/>
      <c r="K342" s="31"/>
      <c r="L342" s="31"/>
      <c r="M342" s="31"/>
      <c r="N342" s="31"/>
      <c r="O342" s="3"/>
      <c r="P342" s="3"/>
    </row>
    <row r="343" spans="1:16" x14ac:dyDescent="0.2">
      <c r="A343" s="61"/>
      <c r="B343" s="61"/>
      <c r="C343" s="61"/>
      <c r="D343" s="31"/>
      <c r="E343" s="31"/>
      <c r="F343" s="31"/>
      <c r="G343" s="31"/>
      <c r="H343" s="31"/>
      <c r="I343" s="31"/>
      <c r="J343" s="61"/>
      <c r="K343" s="31"/>
      <c r="L343" s="31"/>
      <c r="M343" s="31"/>
      <c r="N343" s="31"/>
      <c r="O343" s="3"/>
      <c r="P343" s="3"/>
    </row>
    <row r="344" spans="1:16" x14ac:dyDescent="0.2">
      <c r="A344" s="61"/>
      <c r="B344" s="61"/>
      <c r="C344" s="61"/>
      <c r="D344" s="31"/>
      <c r="E344" s="31"/>
      <c r="F344" s="31"/>
      <c r="G344" s="31"/>
      <c r="H344" s="31"/>
      <c r="I344" s="31"/>
      <c r="J344" s="61"/>
      <c r="K344" s="31"/>
      <c r="L344" s="31"/>
      <c r="M344" s="31"/>
      <c r="N344" s="31"/>
      <c r="O344" s="3"/>
      <c r="P344" s="3"/>
    </row>
    <row r="345" spans="1:16" x14ac:dyDescent="0.2">
      <c r="A345" s="61"/>
      <c r="B345" s="61"/>
      <c r="C345" s="61"/>
      <c r="D345" s="31"/>
      <c r="E345" s="31"/>
      <c r="F345" s="31"/>
      <c r="G345" s="31"/>
      <c r="H345" s="31"/>
      <c r="I345" s="31"/>
      <c r="J345" s="61"/>
      <c r="K345" s="31"/>
      <c r="L345" s="31"/>
      <c r="M345" s="31"/>
      <c r="N345" s="31"/>
      <c r="O345" s="3"/>
      <c r="P345" s="3"/>
    </row>
    <row r="346" spans="1:16" x14ac:dyDescent="0.2">
      <c r="A346" s="61"/>
      <c r="B346" s="61"/>
      <c r="C346" s="61"/>
      <c r="D346" s="31"/>
      <c r="E346" s="31"/>
      <c r="F346" s="31"/>
      <c r="G346" s="31"/>
      <c r="H346" s="31"/>
      <c r="I346" s="31"/>
      <c r="J346" s="61"/>
      <c r="K346" s="31"/>
      <c r="L346" s="31"/>
      <c r="M346" s="31"/>
      <c r="N346" s="31"/>
      <c r="O346" s="3"/>
      <c r="P346" s="3"/>
    </row>
    <row r="347" spans="1:16" x14ac:dyDescent="0.2">
      <c r="A347" s="61"/>
      <c r="B347" s="61"/>
      <c r="C347" s="61"/>
      <c r="D347" s="31"/>
      <c r="E347" s="31"/>
      <c r="F347" s="31"/>
      <c r="G347" s="31"/>
      <c r="H347" s="31"/>
      <c r="I347" s="31"/>
      <c r="J347" s="61"/>
      <c r="K347" s="31"/>
      <c r="L347" s="31"/>
      <c r="M347" s="31"/>
      <c r="N347" s="31"/>
      <c r="O347" s="3"/>
      <c r="P347" s="3"/>
    </row>
    <row r="348" spans="1:16" x14ac:dyDescent="0.2">
      <c r="A348" s="61"/>
      <c r="B348" s="61"/>
      <c r="C348" s="61"/>
      <c r="D348" s="31"/>
      <c r="E348" s="31"/>
      <c r="F348" s="31"/>
      <c r="G348" s="31"/>
      <c r="H348" s="31"/>
      <c r="I348" s="31"/>
      <c r="J348" s="61"/>
      <c r="K348" s="31"/>
      <c r="L348" s="31"/>
      <c r="M348" s="31"/>
      <c r="N348" s="31"/>
      <c r="O348" s="3"/>
      <c r="P348" s="3"/>
    </row>
    <row r="349" spans="1:16" x14ac:dyDescent="0.2">
      <c r="A349" s="61"/>
      <c r="B349" s="61"/>
      <c r="C349" s="61"/>
      <c r="D349" s="31"/>
      <c r="E349" s="31"/>
      <c r="F349" s="31"/>
      <c r="G349" s="31"/>
      <c r="H349" s="31"/>
      <c r="I349" s="31"/>
      <c r="J349" s="61"/>
      <c r="K349" s="14"/>
      <c r="L349" s="14"/>
      <c r="M349" s="14"/>
      <c r="N349" s="31"/>
      <c r="O349" s="3"/>
      <c r="P349" s="3"/>
    </row>
    <row r="350" spans="1:16" x14ac:dyDescent="0.2">
      <c r="A350" s="61"/>
      <c r="B350" s="61"/>
      <c r="C350" s="61"/>
      <c r="D350" s="31"/>
      <c r="E350" s="31"/>
      <c r="F350" s="31"/>
      <c r="G350" s="31"/>
      <c r="H350" s="31"/>
      <c r="I350" s="31"/>
      <c r="J350" s="15"/>
      <c r="K350" s="14"/>
      <c r="L350" s="14"/>
      <c r="M350" s="14"/>
      <c r="N350" s="15"/>
      <c r="O350" s="3"/>
      <c r="P350" s="3"/>
    </row>
    <row r="351" spans="1:16" x14ac:dyDescent="0.2">
      <c r="A351" s="61"/>
      <c r="B351" s="61"/>
      <c r="C351" s="61"/>
      <c r="D351" s="31"/>
      <c r="E351" s="31"/>
      <c r="F351" s="31"/>
      <c r="G351" s="31"/>
      <c r="H351" s="31"/>
      <c r="I351" s="31"/>
      <c r="J351" s="15"/>
      <c r="K351" s="14"/>
      <c r="L351" s="14"/>
      <c r="M351" s="14"/>
      <c r="N351" s="15"/>
      <c r="O351" s="3"/>
      <c r="P351" s="3"/>
    </row>
    <row r="352" spans="1:16" x14ac:dyDescent="0.2">
      <c r="A352" s="61"/>
      <c r="B352" s="61"/>
      <c r="C352" s="61"/>
      <c r="D352" s="31"/>
      <c r="E352" s="31"/>
      <c r="F352" s="31"/>
      <c r="G352" s="31"/>
      <c r="H352" s="31"/>
      <c r="I352" s="31"/>
      <c r="J352" s="15"/>
      <c r="K352" s="14"/>
      <c r="L352" s="14"/>
      <c r="M352" s="14"/>
      <c r="N352" s="15"/>
      <c r="O352" s="3"/>
      <c r="P352" s="3"/>
    </row>
    <row r="353" spans="1:16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4"/>
      <c r="L353" s="14"/>
      <c r="M353" s="14"/>
      <c r="N353" s="15"/>
      <c r="O353" s="3"/>
      <c r="P353" s="3"/>
    </row>
    <row r="354" spans="1:16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3"/>
      <c r="L354" s="13"/>
      <c r="M354" s="14"/>
      <c r="N354" s="15"/>
      <c r="O354" s="3"/>
      <c r="P354" s="3"/>
    </row>
    <row r="355" spans="1:16" x14ac:dyDescent="0.2">
      <c r="A355" s="16"/>
      <c r="B355" s="16"/>
      <c r="C355" s="16"/>
      <c r="D355" s="15"/>
      <c r="E355" s="15"/>
      <c r="F355" s="15"/>
      <c r="G355" s="15"/>
      <c r="H355" s="15"/>
      <c r="I355" s="15"/>
      <c r="J355" s="16"/>
      <c r="K355" s="13"/>
      <c r="L355" s="13"/>
      <c r="M355" s="14"/>
      <c r="N355" s="15"/>
      <c r="O355" s="3"/>
      <c r="P355" s="3"/>
    </row>
    <row r="356" spans="1:16" x14ac:dyDescent="0.2">
      <c r="A356" s="16"/>
      <c r="B356" s="16"/>
      <c r="C356" s="16"/>
      <c r="D356" s="15"/>
      <c r="E356" s="15"/>
      <c r="F356" s="15"/>
      <c r="G356" s="15"/>
      <c r="H356" s="15"/>
      <c r="I356" s="15"/>
      <c r="J356" s="16"/>
      <c r="K356" s="14"/>
      <c r="L356" s="14"/>
      <c r="M356" s="14"/>
      <c r="N356" s="15"/>
      <c r="O356" s="3"/>
      <c r="P356" s="3"/>
    </row>
    <row r="357" spans="1:16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62"/>
      <c r="L357" s="62"/>
      <c r="M357" s="62"/>
      <c r="N357" s="15"/>
      <c r="O357" s="3"/>
      <c r="P357" s="3"/>
    </row>
    <row r="358" spans="1:16" x14ac:dyDescent="0.2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62"/>
      <c r="L358" s="62"/>
      <c r="M358" s="62"/>
      <c r="N358" s="19"/>
      <c r="O358" s="3"/>
      <c r="P358" s="3"/>
    </row>
    <row r="359" spans="1:16" x14ac:dyDescent="0.2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31"/>
      <c r="L359" s="31"/>
      <c r="M359" s="31"/>
      <c r="N359" s="19"/>
      <c r="O359" s="3"/>
      <c r="P359" s="3"/>
    </row>
    <row r="360" spans="1:16" x14ac:dyDescent="0.2">
      <c r="A360" s="61"/>
      <c r="B360" s="61"/>
      <c r="C360" s="61"/>
      <c r="D360" s="31"/>
      <c r="E360" s="31"/>
      <c r="F360" s="31"/>
      <c r="G360" s="31"/>
      <c r="H360" s="31"/>
      <c r="I360" s="31"/>
      <c r="J360" s="61"/>
      <c r="K360" s="31"/>
      <c r="L360" s="31"/>
      <c r="M360" s="31"/>
      <c r="N360" s="31"/>
      <c r="O360" s="3"/>
      <c r="P360" s="3"/>
    </row>
    <row r="361" spans="1:16" x14ac:dyDescent="0.2">
      <c r="A361" s="61"/>
      <c r="B361" s="61"/>
      <c r="C361" s="61"/>
      <c r="D361" s="31"/>
      <c r="E361" s="31"/>
      <c r="F361" s="31"/>
      <c r="G361" s="31"/>
      <c r="H361" s="31"/>
      <c r="I361" s="31"/>
      <c r="J361" s="61"/>
      <c r="K361" s="31"/>
      <c r="L361" s="31"/>
      <c r="M361" s="31"/>
      <c r="N361" s="31"/>
      <c r="O361" s="3"/>
      <c r="P361" s="3"/>
    </row>
    <row r="362" spans="1:16" x14ac:dyDescent="0.2">
      <c r="A362" s="61"/>
      <c r="B362" s="61"/>
      <c r="C362" s="61"/>
      <c r="D362" s="31"/>
      <c r="E362" s="31"/>
      <c r="F362" s="31"/>
      <c r="G362" s="31"/>
      <c r="H362" s="31"/>
      <c r="I362" s="31"/>
      <c r="J362" s="61"/>
      <c r="K362" s="31"/>
      <c r="L362" s="31"/>
      <c r="M362" s="31"/>
      <c r="N362" s="31"/>
      <c r="O362" s="3"/>
      <c r="P362" s="3"/>
    </row>
    <row r="363" spans="1:16" x14ac:dyDescent="0.2">
      <c r="A363" s="61"/>
      <c r="B363" s="61"/>
      <c r="C363" s="61"/>
      <c r="D363" s="31"/>
      <c r="E363" s="31"/>
      <c r="F363" s="31"/>
      <c r="G363" s="31"/>
      <c r="H363" s="31"/>
      <c r="I363" s="31"/>
      <c r="J363" s="61"/>
      <c r="K363" s="31"/>
      <c r="L363" s="31"/>
      <c r="M363" s="31"/>
      <c r="N363" s="31"/>
      <c r="O363" s="3"/>
      <c r="P363" s="3"/>
    </row>
    <row r="364" spans="1:16" x14ac:dyDescent="0.2">
      <c r="A364" s="61"/>
      <c r="B364" s="61"/>
      <c r="C364" s="61"/>
      <c r="D364" s="31"/>
      <c r="E364" s="31"/>
      <c r="F364" s="31"/>
      <c r="G364" s="31"/>
      <c r="H364" s="31"/>
      <c r="I364" s="31"/>
      <c r="J364" s="61"/>
      <c r="K364" s="31"/>
      <c r="L364" s="31"/>
      <c r="M364" s="31"/>
      <c r="N364" s="31"/>
      <c r="O364" s="3"/>
      <c r="P364" s="3"/>
    </row>
    <row r="365" spans="1:16" x14ac:dyDescent="0.2">
      <c r="A365" s="61"/>
      <c r="B365" s="61"/>
      <c r="C365" s="61"/>
      <c r="D365" s="31"/>
      <c r="E365" s="31"/>
      <c r="F365" s="31"/>
      <c r="G365" s="31"/>
      <c r="H365" s="31"/>
      <c r="I365" s="31"/>
      <c r="J365" s="61"/>
      <c r="K365" s="31"/>
      <c r="L365" s="31"/>
      <c r="M365" s="31"/>
      <c r="N365" s="31"/>
      <c r="O365" s="3"/>
      <c r="P365" s="3"/>
    </row>
    <row r="366" spans="1:16" x14ac:dyDescent="0.2">
      <c r="A366" s="61"/>
      <c r="B366" s="61"/>
      <c r="C366" s="61"/>
      <c r="D366" s="31"/>
      <c r="E366" s="31"/>
      <c r="F366" s="31"/>
      <c r="G366" s="31"/>
      <c r="H366" s="31"/>
      <c r="I366" s="31"/>
      <c r="J366" s="61"/>
      <c r="K366" s="31"/>
      <c r="L366" s="31"/>
      <c r="M366" s="31"/>
      <c r="N366" s="31"/>
      <c r="O366" s="3"/>
      <c r="P366" s="3"/>
    </row>
    <row r="367" spans="1:16" x14ac:dyDescent="0.2">
      <c r="A367" s="61"/>
      <c r="B367" s="61"/>
      <c r="C367" s="61"/>
      <c r="D367" s="31"/>
      <c r="E367" s="31"/>
      <c r="F367" s="31"/>
      <c r="G367" s="31"/>
      <c r="H367" s="31"/>
      <c r="I367" s="31"/>
      <c r="J367" s="61"/>
      <c r="K367" s="31"/>
      <c r="L367" s="31"/>
      <c r="M367" s="31"/>
      <c r="N367" s="31"/>
      <c r="O367" s="3"/>
      <c r="P367" s="3"/>
    </row>
    <row r="368" spans="1:16" x14ac:dyDescent="0.2">
      <c r="A368" s="61"/>
      <c r="B368" s="61"/>
      <c r="C368" s="61"/>
      <c r="D368" s="31"/>
      <c r="E368" s="31"/>
      <c r="F368" s="31"/>
      <c r="G368" s="31"/>
      <c r="H368" s="31"/>
      <c r="I368" s="31"/>
      <c r="J368" s="61"/>
      <c r="K368" s="31"/>
      <c r="L368" s="31"/>
      <c r="M368" s="31"/>
      <c r="N368" s="31"/>
      <c r="O368" s="3"/>
      <c r="P368" s="3"/>
    </row>
    <row r="369" spans="1:16" x14ac:dyDescent="0.2">
      <c r="A369" s="61"/>
      <c r="B369" s="61"/>
      <c r="C369" s="61"/>
      <c r="D369" s="31"/>
      <c r="E369" s="31"/>
      <c r="F369" s="31"/>
      <c r="G369" s="31"/>
      <c r="H369" s="31"/>
      <c r="I369" s="31"/>
      <c r="J369" s="61"/>
      <c r="K369" s="31"/>
      <c r="L369" s="31"/>
      <c r="M369" s="31"/>
      <c r="N369" s="31"/>
      <c r="O369" s="3"/>
      <c r="P369" s="3"/>
    </row>
    <row r="370" spans="1:16" x14ac:dyDescent="0.2">
      <c r="A370" s="61"/>
      <c r="B370" s="61"/>
      <c r="C370" s="61"/>
      <c r="D370" s="31"/>
      <c r="E370" s="31"/>
      <c r="F370" s="31"/>
      <c r="G370" s="31"/>
      <c r="H370" s="31"/>
      <c r="I370" s="31"/>
      <c r="J370" s="61"/>
      <c r="K370" s="31"/>
      <c r="L370" s="31"/>
      <c r="M370" s="31"/>
      <c r="N370" s="31"/>
      <c r="O370" s="3"/>
      <c r="P370" s="3"/>
    </row>
    <row r="371" spans="1:16" x14ac:dyDescent="0.2">
      <c r="A371" s="61"/>
      <c r="B371" s="61"/>
      <c r="C371" s="61"/>
      <c r="D371" s="31"/>
      <c r="E371" s="31"/>
      <c r="F371" s="31"/>
      <c r="G371" s="31"/>
      <c r="H371" s="31"/>
      <c r="I371" s="31"/>
      <c r="J371" s="61"/>
      <c r="K371" s="31"/>
      <c r="L371" s="31"/>
      <c r="M371" s="31"/>
      <c r="N371" s="31"/>
      <c r="O371" s="3"/>
      <c r="P371" s="3"/>
    </row>
    <row r="372" spans="1:16" x14ac:dyDescent="0.2">
      <c r="A372" s="61"/>
      <c r="B372" s="61"/>
      <c r="C372" s="61"/>
      <c r="D372" s="31"/>
      <c r="E372" s="31"/>
      <c r="F372" s="31"/>
      <c r="G372" s="31"/>
      <c r="H372" s="31"/>
      <c r="I372" s="31"/>
      <c r="J372" s="61"/>
      <c r="K372" s="31"/>
      <c r="L372" s="31"/>
      <c r="M372" s="31"/>
      <c r="N372" s="31"/>
      <c r="O372" s="3"/>
      <c r="P372" s="3"/>
    </row>
    <row r="373" spans="1:16" x14ac:dyDescent="0.2">
      <c r="A373" s="61"/>
      <c r="B373" s="61"/>
      <c r="C373" s="61"/>
      <c r="D373" s="31"/>
      <c r="E373" s="31"/>
      <c r="F373" s="31"/>
      <c r="G373" s="31"/>
      <c r="H373" s="31"/>
      <c r="I373" s="31"/>
      <c r="J373" s="61"/>
      <c r="K373" s="31"/>
      <c r="L373" s="31"/>
      <c r="M373" s="31"/>
      <c r="N373" s="31"/>
      <c r="O373" s="3"/>
      <c r="P373" s="3"/>
    </row>
    <row r="374" spans="1:16" x14ac:dyDescent="0.2">
      <c r="A374" s="61"/>
      <c r="B374" s="61"/>
      <c r="C374" s="61"/>
      <c r="D374" s="31"/>
      <c r="E374" s="31"/>
      <c r="F374" s="31"/>
      <c r="G374" s="31"/>
      <c r="H374" s="31"/>
      <c r="I374" s="31"/>
      <c r="J374" s="61"/>
      <c r="K374" s="31"/>
      <c r="L374" s="31"/>
      <c r="M374" s="31"/>
      <c r="N374" s="31"/>
      <c r="O374" s="3"/>
      <c r="P374" s="3"/>
    </row>
    <row r="375" spans="1:16" x14ac:dyDescent="0.2">
      <c r="A375" s="61"/>
      <c r="B375" s="61"/>
      <c r="C375" s="61"/>
      <c r="D375" s="31"/>
      <c r="E375" s="31"/>
      <c r="F375" s="31"/>
      <c r="G375" s="31"/>
      <c r="H375" s="31"/>
      <c r="I375" s="31"/>
      <c r="J375" s="61"/>
      <c r="K375" s="31"/>
      <c r="L375" s="31"/>
      <c r="M375" s="31"/>
      <c r="N375" s="31"/>
      <c r="O375" s="3"/>
      <c r="P375" s="3"/>
    </row>
    <row r="376" spans="1:16" x14ac:dyDescent="0.2">
      <c r="A376" s="61"/>
      <c r="B376" s="61"/>
      <c r="C376" s="61"/>
      <c r="D376" s="31"/>
      <c r="E376" s="31"/>
      <c r="F376" s="31"/>
      <c r="G376" s="31"/>
      <c r="H376" s="31"/>
      <c r="I376" s="31"/>
      <c r="J376" s="61"/>
      <c r="K376" s="31"/>
      <c r="L376" s="31"/>
      <c r="M376" s="31"/>
      <c r="N376" s="31"/>
      <c r="O376" s="3"/>
      <c r="P376" s="3"/>
    </row>
    <row r="377" spans="1:16" x14ac:dyDescent="0.2">
      <c r="A377" s="61"/>
      <c r="B377" s="61"/>
      <c r="C377" s="61"/>
      <c r="D377" s="31"/>
      <c r="E377" s="31"/>
      <c r="F377" s="31"/>
      <c r="G377" s="31"/>
      <c r="H377" s="31"/>
      <c r="I377" s="31"/>
      <c r="J377" s="61"/>
      <c r="K377" s="14"/>
      <c r="L377" s="14"/>
      <c r="M377" s="14"/>
      <c r="N377" s="31"/>
      <c r="O377" s="3"/>
      <c r="P377" s="3"/>
    </row>
    <row r="378" spans="1:16" x14ac:dyDescent="0.2">
      <c r="A378" s="61"/>
      <c r="B378" s="61"/>
      <c r="C378" s="61"/>
      <c r="D378" s="31"/>
      <c r="E378" s="31"/>
      <c r="F378" s="31"/>
      <c r="G378" s="31"/>
      <c r="H378" s="31"/>
      <c r="I378" s="31"/>
      <c r="J378" s="15"/>
      <c r="K378" s="14"/>
      <c r="L378" s="14"/>
      <c r="M378" s="14"/>
      <c r="N378" s="15"/>
      <c r="O378" s="3"/>
      <c r="P378" s="3"/>
    </row>
    <row r="379" spans="1:16" x14ac:dyDescent="0.2">
      <c r="A379" s="61"/>
      <c r="B379" s="61"/>
      <c r="C379" s="61"/>
      <c r="D379" s="31"/>
      <c r="E379" s="31"/>
      <c r="F379" s="31"/>
      <c r="G379" s="31"/>
      <c r="H379" s="31"/>
      <c r="I379" s="31"/>
      <c r="J379" s="15"/>
      <c r="K379" s="14"/>
      <c r="L379" s="14"/>
      <c r="M379" s="14"/>
      <c r="N379" s="15"/>
      <c r="O379" s="3"/>
      <c r="P379" s="3"/>
    </row>
    <row r="380" spans="1:16" x14ac:dyDescent="0.2">
      <c r="A380" s="61"/>
      <c r="B380" s="61"/>
      <c r="C380" s="61"/>
      <c r="D380" s="31"/>
      <c r="E380" s="31"/>
      <c r="F380" s="31"/>
      <c r="G380" s="31"/>
      <c r="H380" s="31"/>
      <c r="I380" s="31"/>
      <c r="J380" s="15"/>
      <c r="K380" s="14"/>
      <c r="L380" s="14"/>
      <c r="M380" s="14"/>
      <c r="N380" s="15"/>
      <c r="O380" s="3"/>
      <c r="P380" s="3"/>
    </row>
    <row r="381" spans="1:16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3"/>
      <c r="L381" s="13"/>
      <c r="M381" s="14"/>
      <c r="N381" s="15"/>
      <c r="O381" s="3"/>
      <c r="P381" s="3"/>
    </row>
    <row r="382" spans="1:16" x14ac:dyDescent="0.2">
      <c r="A382" s="16"/>
      <c r="B382" s="16"/>
      <c r="C382" s="16"/>
      <c r="D382" s="15"/>
      <c r="E382" s="15"/>
      <c r="F382" s="15"/>
      <c r="G382" s="15"/>
      <c r="H382" s="15"/>
      <c r="I382" s="15"/>
      <c r="J382" s="16"/>
      <c r="K382" s="13"/>
      <c r="L382" s="13"/>
      <c r="M382" s="14"/>
      <c r="N382" s="15"/>
      <c r="O382" s="3"/>
      <c r="P382" s="3"/>
    </row>
    <row r="383" spans="1:16" x14ac:dyDescent="0.2">
      <c r="A383" s="16"/>
      <c r="B383" s="16"/>
      <c r="C383" s="16"/>
      <c r="D383" s="15"/>
      <c r="E383" s="15"/>
      <c r="F383" s="15"/>
      <c r="G383" s="15"/>
      <c r="H383" s="15"/>
      <c r="I383" s="15"/>
      <c r="J383" s="16"/>
      <c r="K383" s="14"/>
      <c r="L383" s="14"/>
      <c r="M383" s="14"/>
      <c r="N383" s="15"/>
      <c r="O383" s="3"/>
      <c r="P383" s="3"/>
    </row>
    <row r="384" spans="1:16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62"/>
      <c r="L384" s="62"/>
      <c r="M384" s="62"/>
      <c r="N384" s="15"/>
      <c r="O384" s="3"/>
      <c r="P384" s="3"/>
    </row>
    <row r="385" spans="1:16" x14ac:dyDescent="0.2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62"/>
      <c r="L385" s="62"/>
      <c r="M385" s="62"/>
      <c r="N385" s="19"/>
      <c r="O385" s="3"/>
      <c r="P385" s="3"/>
    </row>
    <row r="386" spans="1:16" x14ac:dyDescent="0.2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31"/>
      <c r="L386" s="31"/>
      <c r="M386" s="31"/>
      <c r="N386" s="19"/>
      <c r="O386" s="3"/>
      <c r="P386" s="3"/>
    </row>
    <row r="387" spans="1:16" x14ac:dyDescent="0.2">
      <c r="A387" s="61"/>
      <c r="B387" s="61"/>
      <c r="C387" s="61"/>
      <c r="D387" s="31"/>
      <c r="E387" s="31"/>
      <c r="F387" s="31"/>
      <c r="G387" s="31"/>
      <c r="H387" s="31"/>
      <c r="I387" s="31"/>
      <c r="J387" s="61"/>
      <c r="K387" s="31"/>
      <c r="L387" s="31"/>
      <c r="M387" s="31"/>
      <c r="N387" s="31"/>
      <c r="O387" s="3"/>
      <c r="P387" s="3"/>
    </row>
    <row r="388" spans="1:16" x14ac:dyDescent="0.2">
      <c r="A388" s="61"/>
      <c r="B388" s="61"/>
      <c r="C388" s="61"/>
      <c r="D388" s="31"/>
      <c r="E388" s="31"/>
      <c r="F388" s="31"/>
      <c r="G388" s="31"/>
      <c r="H388" s="31"/>
      <c r="I388" s="31"/>
      <c r="J388" s="61"/>
      <c r="K388" s="31"/>
      <c r="L388" s="31"/>
      <c r="M388" s="31"/>
      <c r="N388" s="31"/>
      <c r="O388" s="3"/>
      <c r="P388" s="3"/>
    </row>
    <row r="389" spans="1:16" x14ac:dyDescent="0.2">
      <c r="A389" s="61"/>
      <c r="B389" s="61"/>
      <c r="C389" s="61"/>
      <c r="D389" s="31"/>
      <c r="E389" s="31"/>
      <c r="F389" s="31"/>
      <c r="G389" s="31"/>
      <c r="H389" s="31"/>
      <c r="I389" s="31"/>
      <c r="J389" s="61"/>
      <c r="K389" s="31"/>
      <c r="L389" s="31"/>
      <c r="M389" s="31"/>
      <c r="N389" s="31"/>
      <c r="O389" s="3"/>
      <c r="P389" s="3"/>
    </row>
    <row r="390" spans="1:16" x14ac:dyDescent="0.2">
      <c r="A390" s="61"/>
      <c r="B390" s="61"/>
      <c r="C390" s="61"/>
      <c r="D390" s="31"/>
      <c r="E390" s="31"/>
      <c r="F390" s="31"/>
      <c r="G390" s="31"/>
      <c r="H390" s="31"/>
      <c r="I390" s="31"/>
      <c r="J390" s="61"/>
      <c r="K390" s="31"/>
      <c r="L390" s="31"/>
      <c r="M390" s="31"/>
      <c r="N390" s="31"/>
      <c r="O390" s="3"/>
      <c r="P390" s="3"/>
    </row>
    <row r="391" spans="1:16" x14ac:dyDescent="0.2">
      <c r="A391" s="61"/>
      <c r="B391" s="61"/>
      <c r="C391" s="61"/>
      <c r="D391" s="31"/>
      <c r="E391" s="31"/>
      <c r="F391" s="31"/>
      <c r="G391" s="31"/>
      <c r="H391" s="31"/>
      <c r="I391" s="31"/>
      <c r="J391" s="61"/>
      <c r="K391" s="31"/>
      <c r="L391" s="31"/>
      <c r="M391" s="31"/>
      <c r="N391" s="31"/>
      <c r="O391" s="3"/>
      <c r="P391" s="3"/>
    </row>
    <row r="392" spans="1:16" x14ac:dyDescent="0.2">
      <c r="A392" s="61"/>
      <c r="B392" s="61"/>
      <c r="C392" s="61"/>
      <c r="D392" s="31"/>
      <c r="E392" s="31"/>
      <c r="F392" s="31"/>
      <c r="G392" s="31"/>
      <c r="H392" s="31"/>
      <c r="I392" s="31"/>
      <c r="J392" s="61"/>
      <c r="K392" s="31"/>
      <c r="L392" s="31"/>
      <c r="M392" s="31"/>
      <c r="N392" s="31"/>
      <c r="O392" s="3"/>
      <c r="P392" s="3"/>
    </row>
    <row r="393" spans="1:16" x14ac:dyDescent="0.2">
      <c r="A393" s="61"/>
      <c r="B393" s="61"/>
      <c r="C393" s="61"/>
      <c r="D393" s="31"/>
      <c r="E393" s="31"/>
      <c r="F393" s="31"/>
      <c r="G393" s="31"/>
      <c r="H393" s="31"/>
      <c r="I393" s="31"/>
      <c r="J393" s="61"/>
      <c r="K393" s="31"/>
      <c r="L393" s="31"/>
      <c r="M393" s="31"/>
      <c r="N393" s="31"/>
      <c r="O393" s="3"/>
      <c r="P393" s="3"/>
    </row>
    <row r="394" spans="1:16" x14ac:dyDescent="0.2">
      <c r="A394" s="61"/>
      <c r="B394" s="61"/>
      <c r="C394" s="61"/>
      <c r="D394" s="31"/>
      <c r="E394" s="31"/>
      <c r="F394" s="31"/>
      <c r="G394" s="31"/>
      <c r="H394" s="31"/>
      <c r="I394" s="31"/>
      <c r="J394" s="61"/>
      <c r="K394" s="31"/>
      <c r="L394" s="31"/>
      <c r="M394" s="31"/>
      <c r="N394" s="31"/>
      <c r="O394" s="3"/>
      <c r="P394" s="3"/>
    </row>
    <row r="395" spans="1:16" x14ac:dyDescent="0.2">
      <c r="A395" s="61"/>
      <c r="B395" s="61"/>
      <c r="C395" s="61"/>
      <c r="D395" s="31"/>
      <c r="E395" s="31"/>
      <c r="F395" s="31"/>
      <c r="G395" s="31"/>
      <c r="H395" s="31"/>
      <c r="I395" s="31"/>
      <c r="J395" s="61"/>
      <c r="K395" s="31"/>
      <c r="L395" s="31"/>
      <c r="M395" s="31"/>
      <c r="N395" s="31"/>
      <c r="O395" s="3"/>
      <c r="P395" s="3"/>
    </row>
    <row r="396" spans="1:16" x14ac:dyDescent="0.2">
      <c r="A396" s="61"/>
      <c r="B396" s="61"/>
      <c r="C396" s="61"/>
      <c r="D396" s="31"/>
      <c r="E396" s="31"/>
      <c r="F396" s="31"/>
      <c r="G396" s="31"/>
      <c r="H396" s="31"/>
      <c r="I396" s="31"/>
      <c r="J396" s="61"/>
      <c r="K396" s="31"/>
      <c r="L396" s="31"/>
      <c r="M396" s="31"/>
      <c r="N396" s="31"/>
      <c r="O396" s="3"/>
      <c r="P396" s="3"/>
    </row>
    <row r="397" spans="1:16" x14ac:dyDescent="0.2">
      <c r="A397" s="61"/>
      <c r="B397" s="61"/>
      <c r="C397" s="61"/>
      <c r="D397" s="31"/>
      <c r="E397" s="31"/>
      <c r="F397" s="31"/>
      <c r="G397" s="31"/>
      <c r="H397" s="31"/>
      <c r="I397" s="31"/>
      <c r="J397" s="61"/>
      <c r="K397" s="31"/>
      <c r="L397" s="31"/>
      <c r="M397" s="31"/>
      <c r="N397" s="31"/>
      <c r="O397" s="3"/>
      <c r="P397" s="3"/>
    </row>
    <row r="398" spans="1:16" x14ac:dyDescent="0.2">
      <c r="A398" s="61"/>
      <c r="B398" s="61"/>
      <c r="C398" s="61"/>
      <c r="D398" s="31"/>
      <c r="E398" s="31"/>
      <c r="F398" s="31"/>
      <c r="G398" s="31"/>
      <c r="H398" s="31"/>
      <c r="I398" s="31"/>
      <c r="J398" s="61"/>
      <c r="K398" s="31"/>
      <c r="L398" s="31"/>
      <c r="M398" s="31"/>
      <c r="N398" s="31"/>
      <c r="O398" s="3"/>
      <c r="P398" s="3"/>
    </row>
    <row r="399" spans="1:16" x14ac:dyDescent="0.2">
      <c r="A399" s="61"/>
      <c r="B399" s="61"/>
      <c r="C399" s="61"/>
      <c r="D399" s="31"/>
      <c r="E399" s="31"/>
      <c r="F399" s="31"/>
      <c r="G399" s="31"/>
      <c r="H399" s="31"/>
      <c r="I399" s="31"/>
      <c r="J399" s="61"/>
      <c r="K399" s="31"/>
      <c r="L399" s="31"/>
      <c r="M399" s="31"/>
      <c r="N399" s="31"/>
      <c r="O399" s="3"/>
      <c r="P399" s="3"/>
    </row>
    <row r="400" spans="1:16" x14ac:dyDescent="0.2">
      <c r="A400" s="61"/>
      <c r="B400" s="61"/>
      <c r="C400" s="61"/>
      <c r="D400" s="31"/>
      <c r="E400" s="31"/>
      <c r="F400" s="31"/>
      <c r="G400" s="31"/>
      <c r="H400" s="31"/>
      <c r="I400" s="31"/>
      <c r="J400" s="61"/>
      <c r="K400" s="31"/>
      <c r="L400" s="31"/>
      <c r="M400" s="31"/>
      <c r="N400" s="31"/>
      <c r="O400" s="3"/>
      <c r="P400" s="3"/>
    </row>
    <row r="401" spans="1:16" x14ac:dyDescent="0.2">
      <c r="A401" s="61"/>
      <c r="B401" s="61"/>
      <c r="C401" s="61"/>
      <c r="D401" s="31"/>
      <c r="E401" s="31"/>
      <c r="F401" s="31"/>
      <c r="G401" s="31"/>
      <c r="H401" s="31"/>
      <c r="I401" s="31"/>
      <c r="J401" s="61"/>
      <c r="K401" s="31"/>
      <c r="L401" s="31"/>
      <c r="M401" s="31"/>
      <c r="N401" s="31"/>
      <c r="O401" s="3"/>
      <c r="P401" s="3"/>
    </row>
    <row r="402" spans="1:16" x14ac:dyDescent="0.2">
      <c r="A402" s="61"/>
      <c r="B402" s="61"/>
      <c r="C402" s="61"/>
      <c r="D402" s="31"/>
      <c r="E402" s="31"/>
      <c r="F402" s="31"/>
      <c r="G402" s="31"/>
      <c r="H402" s="31"/>
      <c r="I402" s="31"/>
      <c r="J402" s="61"/>
      <c r="K402" s="31"/>
      <c r="L402" s="31"/>
      <c r="M402" s="31"/>
      <c r="N402" s="31"/>
      <c r="O402" s="3"/>
      <c r="P402" s="3"/>
    </row>
    <row r="403" spans="1:16" x14ac:dyDescent="0.2">
      <c r="A403" s="61"/>
      <c r="B403" s="61"/>
      <c r="C403" s="61"/>
      <c r="D403" s="31"/>
      <c r="E403" s="31"/>
      <c r="F403" s="31"/>
      <c r="G403" s="31"/>
      <c r="H403" s="31"/>
      <c r="I403" s="31"/>
      <c r="J403" s="61"/>
      <c r="K403" s="31"/>
      <c r="L403" s="31"/>
      <c r="M403" s="31"/>
      <c r="N403" s="31"/>
      <c r="O403" s="3"/>
      <c r="P403" s="3"/>
    </row>
    <row r="404" spans="1:16" x14ac:dyDescent="0.2">
      <c r="A404" s="61"/>
      <c r="B404" s="61"/>
      <c r="C404" s="61"/>
      <c r="D404" s="31"/>
      <c r="E404" s="31"/>
      <c r="F404" s="31"/>
      <c r="G404" s="31"/>
      <c r="H404" s="31"/>
      <c r="I404" s="31"/>
      <c r="J404" s="61"/>
      <c r="K404" s="14"/>
      <c r="L404" s="14"/>
      <c r="M404" s="14"/>
      <c r="N404" s="31"/>
      <c r="O404" s="3"/>
      <c r="P404" s="3"/>
    </row>
    <row r="405" spans="1:16" x14ac:dyDescent="0.2">
      <c r="A405" s="61"/>
      <c r="B405" s="61"/>
      <c r="C405" s="61"/>
      <c r="D405" s="31"/>
      <c r="E405" s="31"/>
      <c r="F405" s="31"/>
      <c r="G405" s="31"/>
      <c r="H405" s="31"/>
      <c r="I405" s="31"/>
      <c r="J405" s="15"/>
      <c r="K405" s="14"/>
      <c r="L405" s="14"/>
      <c r="M405" s="14"/>
      <c r="N405" s="15"/>
      <c r="O405" s="3"/>
      <c r="P405" s="3"/>
    </row>
    <row r="406" spans="1:16" x14ac:dyDescent="0.2">
      <c r="A406" s="61"/>
      <c r="B406" s="61"/>
      <c r="C406" s="61"/>
      <c r="D406" s="31"/>
      <c r="E406" s="31"/>
      <c r="F406" s="31"/>
      <c r="G406" s="31"/>
      <c r="H406" s="31"/>
      <c r="I406" s="31"/>
      <c r="J406" s="15"/>
      <c r="K406" s="14"/>
      <c r="L406" s="14"/>
      <c r="M406" s="14"/>
      <c r="N406" s="15"/>
      <c r="O406" s="3"/>
      <c r="P406" s="3"/>
    </row>
    <row r="407" spans="1:16" x14ac:dyDescent="0.2">
      <c r="A407" s="61"/>
      <c r="B407" s="61"/>
      <c r="C407" s="61"/>
      <c r="D407" s="31"/>
      <c r="E407" s="31"/>
      <c r="F407" s="31"/>
      <c r="G407" s="31"/>
      <c r="H407" s="31"/>
      <c r="I407" s="31"/>
      <c r="J407" s="15"/>
      <c r="K407" s="14"/>
      <c r="L407" s="14"/>
      <c r="M407" s="14"/>
      <c r="N407" s="15"/>
      <c r="O407" s="3"/>
      <c r="P407" s="3"/>
    </row>
    <row r="408" spans="1:16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4"/>
      <c r="L408" s="14"/>
      <c r="M408" s="14"/>
      <c r="N408" s="15"/>
      <c r="O408" s="3"/>
      <c r="P408" s="3"/>
    </row>
    <row r="409" spans="1:16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4"/>
      <c r="L409" s="14"/>
      <c r="M409" s="14"/>
      <c r="N409" s="15"/>
      <c r="O409" s="3"/>
      <c r="P409" s="3"/>
    </row>
    <row r="410" spans="1:16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3"/>
      <c r="L410" s="13"/>
      <c r="M410" s="14"/>
      <c r="N410" s="15"/>
      <c r="O410" s="3"/>
      <c r="P410" s="3"/>
    </row>
    <row r="411" spans="1:16" x14ac:dyDescent="0.2">
      <c r="A411" s="16"/>
      <c r="B411" s="16"/>
      <c r="C411" s="16"/>
      <c r="D411" s="15"/>
      <c r="E411" s="15"/>
      <c r="F411" s="15"/>
      <c r="G411" s="15"/>
      <c r="H411" s="15"/>
      <c r="I411" s="15"/>
      <c r="J411" s="16"/>
      <c r="K411" s="13"/>
      <c r="L411" s="13"/>
      <c r="M411" s="14"/>
      <c r="N411" s="15"/>
      <c r="O411" s="3"/>
      <c r="P411" s="3"/>
    </row>
    <row r="412" spans="1:16" x14ac:dyDescent="0.2">
      <c r="A412" s="16"/>
      <c r="B412" s="16"/>
      <c r="C412" s="16"/>
      <c r="D412" s="15"/>
      <c r="E412" s="15"/>
      <c r="F412" s="15"/>
      <c r="G412" s="15"/>
      <c r="H412" s="15"/>
      <c r="I412" s="15"/>
      <c r="J412" s="16"/>
      <c r="K412" s="14"/>
      <c r="L412" s="14"/>
      <c r="M412" s="14"/>
      <c r="N412" s="15"/>
      <c r="O412" s="3"/>
      <c r="P412" s="3"/>
    </row>
    <row r="413" spans="1:16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62"/>
      <c r="L413" s="62"/>
      <c r="M413" s="62"/>
      <c r="N413" s="15"/>
      <c r="O413" s="3"/>
      <c r="P413" s="3"/>
    </row>
    <row r="414" spans="1:16" x14ac:dyDescent="0.2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62"/>
      <c r="L414" s="62"/>
      <c r="M414" s="62"/>
      <c r="N414" s="19"/>
      <c r="O414" s="3"/>
      <c r="P414" s="3"/>
    </row>
    <row r="415" spans="1:16" x14ac:dyDescent="0.2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31"/>
      <c r="L415" s="31"/>
      <c r="M415" s="31"/>
      <c r="N415" s="19"/>
      <c r="O415" s="3"/>
      <c r="P415" s="3"/>
    </row>
    <row r="416" spans="1:16" x14ac:dyDescent="0.2">
      <c r="A416" s="61"/>
      <c r="B416" s="61"/>
      <c r="C416" s="61"/>
      <c r="D416" s="31"/>
      <c r="E416" s="31"/>
      <c r="F416" s="31"/>
      <c r="G416" s="31"/>
      <c r="H416" s="31"/>
      <c r="I416" s="31"/>
      <c r="J416" s="61"/>
      <c r="K416" s="31"/>
      <c r="L416" s="31"/>
      <c r="M416" s="31"/>
      <c r="N416" s="31"/>
      <c r="O416" s="3"/>
      <c r="P416" s="3"/>
    </row>
    <row r="417" spans="1:16" x14ac:dyDescent="0.2">
      <c r="A417" s="61"/>
      <c r="B417" s="61"/>
      <c r="C417" s="61"/>
      <c r="D417" s="31"/>
      <c r="E417" s="31"/>
      <c r="F417" s="31"/>
      <c r="G417" s="31"/>
      <c r="H417" s="31"/>
      <c r="I417" s="31"/>
      <c r="J417" s="61"/>
      <c r="K417" s="31"/>
      <c r="L417" s="31"/>
      <c r="M417" s="31"/>
      <c r="N417" s="31"/>
      <c r="O417" s="3"/>
      <c r="P417" s="3"/>
    </row>
    <row r="418" spans="1:16" x14ac:dyDescent="0.2">
      <c r="A418" s="61"/>
      <c r="B418" s="61"/>
      <c r="C418" s="61"/>
      <c r="D418" s="31"/>
      <c r="E418" s="31"/>
      <c r="F418" s="31"/>
      <c r="G418" s="31"/>
      <c r="H418" s="31"/>
      <c r="I418" s="31"/>
      <c r="J418" s="61"/>
      <c r="K418" s="31"/>
      <c r="L418" s="31"/>
      <c r="M418" s="31"/>
      <c r="N418" s="31"/>
      <c r="O418" s="3"/>
      <c r="P418" s="3"/>
    </row>
    <row r="419" spans="1:16" x14ac:dyDescent="0.2">
      <c r="A419" s="61"/>
      <c r="B419" s="61"/>
      <c r="C419" s="61"/>
      <c r="D419" s="31"/>
      <c r="E419" s="31"/>
      <c r="F419" s="31"/>
      <c r="G419" s="31"/>
      <c r="H419" s="31"/>
      <c r="I419" s="31"/>
      <c r="J419" s="61"/>
      <c r="K419" s="31"/>
      <c r="L419" s="31"/>
      <c r="M419" s="31"/>
      <c r="N419" s="31"/>
      <c r="O419" s="3"/>
      <c r="P419" s="3"/>
    </row>
    <row r="420" spans="1:16" x14ac:dyDescent="0.2">
      <c r="A420" s="61"/>
      <c r="B420" s="61"/>
      <c r="C420" s="61"/>
      <c r="D420" s="31"/>
      <c r="E420" s="31"/>
      <c r="F420" s="31"/>
      <c r="G420" s="31"/>
      <c r="H420" s="31"/>
      <c r="I420" s="31"/>
      <c r="J420" s="61"/>
      <c r="K420" s="31"/>
      <c r="L420" s="31"/>
      <c r="M420" s="31"/>
      <c r="N420" s="31"/>
      <c r="O420" s="3"/>
      <c r="P420" s="3"/>
    </row>
    <row r="421" spans="1:16" x14ac:dyDescent="0.2">
      <c r="A421" s="61"/>
      <c r="B421" s="61"/>
      <c r="C421" s="61"/>
      <c r="D421" s="31"/>
      <c r="E421" s="31"/>
      <c r="F421" s="31"/>
      <c r="G421" s="31"/>
      <c r="H421" s="31"/>
      <c r="I421" s="31"/>
      <c r="J421" s="61"/>
      <c r="K421" s="31"/>
      <c r="L421" s="31"/>
      <c r="M421" s="31"/>
      <c r="N421" s="31"/>
      <c r="O421" s="3"/>
      <c r="P421" s="3"/>
    </row>
    <row r="422" spans="1:16" x14ac:dyDescent="0.2">
      <c r="A422" s="61"/>
      <c r="B422" s="61"/>
      <c r="C422" s="61"/>
      <c r="D422" s="31"/>
      <c r="E422" s="31"/>
      <c r="F422" s="31"/>
      <c r="G422" s="31"/>
      <c r="H422" s="31"/>
      <c r="I422" s="31"/>
      <c r="J422" s="61"/>
      <c r="K422" s="31"/>
      <c r="L422" s="31"/>
      <c r="M422" s="31"/>
      <c r="N422" s="31"/>
      <c r="O422" s="3"/>
      <c r="P422" s="3"/>
    </row>
    <row r="423" spans="1:16" x14ac:dyDescent="0.2">
      <c r="A423" s="61"/>
      <c r="B423" s="61"/>
      <c r="C423" s="61"/>
      <c r="D423" s="31"/>
      <c r="E423" s="31"/>
      <c r="F423" s="31"/>
      <c r="G423" s="31"/>
      <c r="H423" s="31"/>
      <c r="I423" s="31"/>
      <c r="J423" s="61"/>
      <c r="K423" s="31"/>
      <c r="L423" s="31"/>
      <c r="M423" s="31"/>
      <c r="N423" s="31"/>
      <c r="O423" s="3"/>
      <c r="P423" s="3"/>
    </row>
    <row r="424" spans="1:16" x14ac:dyDescent="0.2">
      <c r="A424" s="61"/>
      <c r="B424" s="61"/>
      <c r="C424" s="61"/>
      <c r="D424" s="31"/>
      <c r="E424" s="31"/>
      <c r="F424" s="31"/>
      <c r="G424" s="31"/>
      <c r="H424" s="31"/>
      <c r="I424" s="31"/>
      <c r="J424" s="61"/>
      <c r="K424" s="31"/>
      <c r="L424" s="31"/>
      <c r="M424" s="31"/>
      <c r="N424" s="31"/>
      <c r="O424" s="3"/>
      <c r="P424" s="3"/>
    </row>
    <row r="425" spans="1:16" x14ac:dyDescent="0.2">
      <c r="A425" s="61"/>
      <c r="B425" s="61"/>
      <c r="C425" s="61"/>
      <c r="D425" s="31"/>
      <c r="E425" s="31"/>
      <c r="F425" s="31"/>
      <c r="G425" s="31"/>
      <c r="H425" s="31"/>
      <c r="I425" s="31"/>
      <c r="J425" s="61"/>
      <c r="K425" s="31"/>
      <c r="L425" s="31"/>
      <c r="M425" s="31"/>
      <c r="N425" s="31"/>
      <c r="O425" s="3"/>
      <c r="P425" s="3"/>
    </row>
    <row r="426" spans="1:16" x14ac:dyDescent="0.2">
      <c r="A426" s="61"/>
      <c r="B426" s="61"/>
      <c r="C426" s="61"/>
      <c r="D426" s="31"/>
      <c r="E426" s="31"/>
      <c r="F426" s="31"/>
      <c r="G426" s="31"/>
      <c r="H426" s="31"/>
      <c r="I426" s="31"/>
      <c r="J426" s="61"/>
      <c r="K426" s="31"/>
      <c r="L426" s="31"/>
      <c r="M426" s="31"/>
      <c r="N426" s="31"/>
      <c r="O426" s="3"/>
      <c r="P426" s="3"/>
    </row>
    <row r="427" spans="1:16" x14ac:dyDescent="0.2">
      <c r="A427" s="61"/>
      <c r="B427" s="61"/>
      <c r="C427" s="61"/>
      <c r="D427" s="31"/>
      <c r="E427" s="31"/>
      <c r="F427" s="31"/>
      <c r="G427" s="31"/>
      <c r="H427" s="31"/>
      <c r="I427" s="31"/>
      <c r="J427" s="61"/>
      <c r="K427" s="31"/>
      <c r="L427" s="31"/>
      <c r="M427" s="31"/>
      <c r="N427" s="31"/>
      <c r="O427" s="3"/>
      <c r="P427" s="3"/>
    </row>
    <row r="428" spans="1:16" x14ac:dyDescent="0.2">
      <c r="A428" s="61"/>
      <c r="B428" s="61"/>
      <c r="C428" s="61"/>
      <c r="D428" s="31"/>
      <c r="E428" s="31"/>
      <c r="F428" s="31"/>
      <c r="G428" s="31"/>
      <c r="H428" s="31"/>
      <c r="I428" s="31"/>
      <c r="J428" s="61"/>
      <c r="K428" s="31"/>
      <c r="L428" s="31"/>
      <c r="M428" s="31"/>
      <c r="N428" s="31"/>
      <c r="O428" s="3"/>
      <c r="P428" s="3"/>
    </row>
    <row r="429" spans="1:16" x14ac:dyDescent="0.2">
      <c r="A429" s="61"/>
      <c r="B429" s="61"/>
      <c r="C429" s="61"/>
      <c r="D429" s="31"/>
      <c r="E429" s="31"/>
      <c r="F429" s="31"/>
      <c r="G429" s="31"/>
      <c r="H429" s="31"/>
      <c r="I429" s="31"/>
      <c r="J429" s="61"/>
      <c r="K429" s="31"/>
      <c r="L429" s="31"/>
      <c r="M429" s="31"/>
      <c r="N429" s="31"/>
      <c r="O429" s="3"/>
      <c r="P429" s="3"/>
    </row>
    <row r="430" spans="1:16" x14ac:dyDescent="0.2">
      <c r="A430" s="61"/>
      <c r="B430" s="61"/>
      <c r="C430" s="61"/>
      <c r="D430" s="31"/>
      <c r="E430" s="31"/>
      <c r="F430" s="31"/>
      <c r="G430" s="31"/>
      <c r="H430" s="31"/>
      <c r="I430" s="31"/>
      <c r="J430" s="61"/>
      <c r="K430" s="31"/>
      <c r="L430" s="31"/>
      <c r="M430" s="31"/>
      <c r="N430" s="31"/>
      <c r="O430" s="3"/>
      <c r="P430" s="3"/>
    </row>
    <row r="431" spans="1:16" x14ac:dyDescent="0.2">
      <c r="A431" s="61"/>
      <c r="B431" s="61"/>
      <c r="C431" s="61"/>
      <c r="D431" s="31"/>
      <c r="E431" s="31"/>
      <c r="F431" s="31"/>
      <c r="G431" s="31"/>
      <c r="H431" s="31"/>
      <c r="I431" s="31"/>
      <c r="J431" s="61"/>
      <c r="K431" s="31"/>
      <c r="L431" s="31"/>
      <c r="M431" s="31"/>
      <c r="N431" s="31"/>
      <c r="O431" s="3"/>
      <c r="P431" s="3"/>
    </row>
    <row r="432" spans="1:16" x14ac:dyDescent="0.2">
      <c r="A432" s="61"/>
      <c r="B432" s="61"/>
      <c r="C432" s="61"/>
      <c r="D432" s="31"/>
      <c r="E432" s="31"/>
      <c r="F432" s="31"/>
      <c r="G432" s="31"/>
      <c r="H432" s="31"/>
      <c r="I432" s="31"/>
      <c r="J432" s="61"/>
      <c r="K432" s="31"/>
      <c r="L432" s="31"/>
      <c r="M432" s="31"/>
      <c r="N432" s="31"/>
      <c r="O432" s="3"/>
      <c r="P432" s="3"/>
    </row>
    <row r="433" spans="1:16" x14ac:dyDescent="0.2">
      <c r="A433" s="61"/>
      <c r="B433" s="61"/>
      <c r="C433" s="61"/>
      <c r="D433" s="31"/>
      <c r="E433" s="31"/>
      <c r="F433" s="31"/>
      <c r="G433" s="31"/>
      <c r="H433" s="31"/>
      <c r="I433" s="31"/>
      <c r="J433" s="61"/>
      <c r="K433" s="14"/>
      <c r="L433" s="14"/>
      <c r="M433" s="14"/>
      <c r="N433" s="31"/>
      <c r="O433" s="3"/>
      <c r="P433" s="3"/>
    </row>
    <row r="434" spans="1:16" x14ac:dyDescent="0.2">
      <c r="A434" s="61"/>
      <c r="B434" s="61"/>
      <c r="C434" s="61"/>
      <c r="D434" s="31"/>
      <c r="E434" s="31"/>
      <c r="F434" s="31"/>
      <c r="G434" s="31"/>
      <c r="H434" s="31"/>
      <c r="I434" s="31"/>
      <c r="J434" s="15"/>
      <c r="K434" s="14"/>
      <c r="L434" s="14"/>
      <c r="M434" s="14"/>
      <c r="N434" s="15"/>
      <c r="O434" s="3"/>
      <c r="P434" s="3"/>
    </row>
    <row r="435" spans="1:16" x14ac:dyDescent="0.2">
      <c r="A435" s="61"/>
      <c r="B435" s="61"/>
      <c r="C435" s="61"/>
      <c r="D435" s="31"/>
      <c r="E435" s="31"/>
      <c r="F435" s="31"/>
      <c r="G435" s="31"/>
      <c r="H435" s="31"/>
      <c r="I435" s="31"/>
      <c r="J435" s="15"/>
      <c r="K435" s="14"/>
      <c r="L435" s="14"/>
      <c r="M435" s="14"/>
      <c r="N435" s="15"/>
      <c r="O435" s="3"/>
      <c r="P435" s="3"/>
    </row>
    <row r="436" spans="1:16" x14ac:dyDescent="0.2">
      <c r="A436" s="61"/>
      <c r="B436" s="61"/>
      <c r="C436" s="61"/>
      <c r="D436" s="31"/>
      <c r="E436" s="31"/>
      <c r="F436" s="31"/>
      <c r="G436" s="31"/>
      <c r="H436" s="31"/>
      <c r="I436" s="31"/>
      <c r="J436" s="15"/>
      <c r="K436" s="14"/>
      <c r="L436" s="14"/>
      <c r="M436" s="14"/>
      <c r="N436" s="15"/>
      <c r="O436" s="3"/>
      <c r="P436" s="3"/>
    </row>
    <row r="437" spans="1:16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3"/>
      <c r="L437" s="13"/>
      <c r="M437" s="14"/>
      <c r="N437" s="15"/>
      <c r="O437" s="3"/>
      <c r="P437" s="3"/>
    </row>
    <row r="438" spans="1:16" x14ac:dyDescent="0.2">
      <c r="A438" s="16"/>
      <c r="B438" s="16"/>
      <c r="C438" s="16"/>
      <c r="D438" s="15"/>
      <c r="E438" s="15"/>
      <c r="F438" s="15"/>
      <c r="G438" s="15"/>
      <c r="H438" s="15"/>
      <c r="I438" s="15"/>
      <c r="J438" s="16"/>
      <c r="K438" s="13"/>
      <c r="L438" s="13"/>
      <c r="M438" s="14"/>
      <c r="N438" s="15"/>
      <c r="O438" s="3"/>
      <c r="P438" s="3"/>
    </row>
    <row r="439" spans="1:16" x14ac:dyDescent="0.2">
      <c r="A439" s="16"/>
      <c r="B439" s="16"/>
      <c r="C439" s="16"/>
      <c r="D439" s="15"/>
      <c r="E439" s="15"/>
      <c r="F439" s="15"/>
      <c r="G439" s="15"/>
      <c r="H439" s="15"/>
      <c r="I439" s="15"/>
      <c r="J439" s="16"/>
      <c r="K439" s="14"/>
      <c r="L439" s="14"/>
      <c r="M439" s="14"/>
      <c r="N439" s="15"/>
      <c r="O439" s="3"/>
      <c r="P439" s="3"/>
    </row>
    <row r="440" spans="1:16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62"/>
      <c r="L440" s="62"/>
      <c r="M440" s="62"/>
      <c r="N440" s="15"/>
      <c r="O440" s="3"/>
      <c r="P440" s="3"/>
    </row>
    <row r="441" spans="1:16" x14ac:dyDescent="0.2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62"/>
      <c r="L441" s="62"/>
      <c r="M441" s="62"/>
      <c r="N441" s="19"/>
      <c r="O441" s="3"/>
      <c r="P441" s="3"/>
    </row>
    <row r="442" spans="1:16" x14ac:dyDescent="0.2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31"/>
      <c r="L442" s="31"/>
      <c r="M442" s="31"/>
      <c r="N442" s="19"/>
      <c r="O442" s="3"/>
      <c r="P442" s="3"/>
    </row>
    <row r="443" spans="1:16" x14ac:dyDescent="0.2">
      <c r="A443" s="61"/>
      <c r="B443" s="61"/>
      <c r="C443" s="61"/>
      <c r="D443" s="31"/>
      <c r="E443" s="31"/>
      <c r="F443" s="31"/>
      <c r="G443" s="31"/>
      <c r="H443" s="31"/>
      <c r="I443" s="31"/>
      <c r="J443" s="61"/>
      <c r="K443" s="31"/>
      <c r="L443" s="31"/>
      <c r="M443" s="31"/>
      <c r="N443" s="31"/>
      <c r="O443" s="3"/>
      <c r="P443" s="3"/>
    </row>
    <row r="444" spans="1:16" x14ac:dyDescent="0.2">
      <c r="A444" s="61"/>
      <c r="B444" s="61"/>
      <c r="C444" s="61"/>
      <c r="D444" s="31"/>
      <c r="E444" s="31"/>
      <c r="F444" s="31"/>
      <c r="G444" s="31"/>
      <c r="H444" s="31"/>
      <c r="I444" s="31"/>
      <c r="J444" s="61"/>
      <c r="K444" s="31"/>
      <c r="L444" s="31"/>
      <c r="M444" s="31"/>
      <c r="N444" s="31"/>
      <c r="O444" s="3"/>
      <c r="P444" s="3"/>
    </row>
    <row r="445" spans="1:16" x14ac:dyDescent="0.2">
      <c r="A445" s="61"/>
      <c r="B445" s="61"/>
      <c r="C445" s="61"/>
      <c r="D445" s="31"/>
      <c r="E445" s="31"/>
      <c r="F445" s="31"/>
      <c r="G445" s="31"/>
      <c r="H445" s="31"/>
      <c r="I445" s="31"/>
      <c r="J445" s="61"/>
      <c r="K445" s="31"/>
      <c r="L445" s="31"/>
      <c r="M445" s="31"/>
      <c r="N445" s="31"/>
      <c r="O445" s="3"/>
      <c r="P445" s="3"/>
    </row>
    <row r="446" spans="1:16" x14ac:dyDescent="0.2">
      <c r="A446" s="61"/>
      <c r="B446" s="61"/>
      <c r="C446" s="61"/>
      <c r="D446" s="31"/>
      <c r="E446" s="31"/>
      <c r="F446" s="31"/>
      <c r="G446" s="31"/>
      <c r="H446" s="31"/>
      <c r="I446" s="31"/>
      <c r="J446" s="61"/>
      <c r="K446" s="31"/>
      <c r="L446" s="31"/>
      <c r="M446" s="31"/>
      <c r="N446" s="31"/>
      <c r="O446" s="3"/>
      <c r="P446" s="3"/>
    </row>
    <row r="447" spans="1:16" x14ac:dyDescent="0.2">
      <c r="A447" s="61"/>
      <c r="B447" s="61"/>
      <c r="C447" s="61"/>
      <c r="D447" s="31"/>
      <c r="E447" s="31"/>
      <c r="F447" s="31"/>
      <c r="G447" s="31"/>
      <c r="H447" s="31"/>
      <c r="I447" s="31"/>
      <c r="J447" s="61"/>
      <c r="K447" s="31"/>
      <c r="L447" s="31"/>
      <c r="M447" s="31"/>
      <c r="N447" s="31"/>
      <c r="O447" s="3"/>
      <c r="P447" s="3"/>
    </row>
    <row r="448" spans="1:16" x14ac:dyDescent="0.2">
      <c r="A448" s="61"/>
      <c r="B448" s="61"/>
      <c r="C448" s="61"/>
      <c r="D448" s="31"/>
      <c r="E448" s="31"/>
      <c r="F448" s="31"/>
      <c r="G448" s="31"/>
      <c r="H448" s="31"/>
      <c r="I448" s="31"/>
      <c r="J448" s="61"/>
      <c r="K448" s="31"/>
      <c r="L448" s="31"/>
      <c r="M448" s="31"/>
      <c r="N448" s="31"/>
      <c r="O448" s="3"/>
      <c r="P448" s="3"/>
    </row>
    <row r="449" spans="1:16" x14ac:dyDescent="0.2">
      <c r="A449" s="61"/>
      <c r="B449" s="61"/>
      <c r="C449" s="61"/>
      <c r="D449" s="31"/>
      <c r="E449" s="31"/>
      <c r="F449" s="31"/>
      <c r="G449" s="31"/>
      <c r="H449" s="31"/>
      <c r="I449" s="31"/>
      <c r="J449" s="61"/>
      <c r="K449" s="31"/>
      <c r="L449" s="31"/>
      <c r="M449" s="31"/>
      <c r="N449" s="31"/>
      <c r="O449" s="3"/>
      <c r="P449" s="3"/>
    </row>
    <row r="450" spans="1:16" x14ac:dyDescent="0.2">
      <c r="A450" s="61"/>
      <c r="B450" s="61"/>
      <c r="C450" s="61"/>
      <c r="D450" s="31"/>
      <c r="E450" s="31"/>
      <c r="F450" s="31"/>
      <c r="G450" s="31"/>
      <c r="H450" s="31"/>
      <c r="I450" s="31"/>
      <c r="J450" s="61"/>
      <c r="K450" s="31"/>
      <c r="L450" s="31"/>
      <c r="M450" s="31"/>
      <c r="N450" s="31"/>
      <c r="O450" s="3"/>
      <c r="P450" s="3"/>
    </row>
    <row r="451" spans="1:16" x14ac:dyDescent="0.2">
      <c r="A451" s="61"/>
      <c r="B451" s="61"/>
      <c r="C451" s="61"/>
      <c r="D451" s="31"/>
      <c r="E451" s="31"/>
      <c r="F451" s="31"/>
      <c r="G451" s="31"/>
      <c r="H451" s="31"/>
      <c r="I451" s="31"/>
      <c r="J451" s="61"/>
      <c r="K451" s="31"/>
      <c r="L451" s="31"/>
      <c r="M451" s="31"/>
      <c r="N451" s="31"/>
      <c r="O451" s="3"/>
      <c r="P451" s="3"/>
    </row>
    <row r="452" spans="1:16" x14ac:dyDescent="0.2">
      <c r="A452" s="61"/>
      <c r="B452" s="61"/>
      <c r="C452" s="61"/>
      <c r="D452" s="31"/>
      <c r="E452" s="31"/>
      <c r="F452" s="31"/>
      <c r="G452" s="31"/>
      <c r="H452" s="31"/>
      <c r="I452" s="31"/>
      <c r="J452" s="61"/>
      <c r="K452" s="31"/>
      <c r="L452" s="31"/>
      <c r="M452" s="31"/>
      <c r="N452" s="31"/>
      <c r="O452" s="3"/>
      <c r="P452" s="3"/>
    </row>
    <row r="453" spans="1:16" x14ac:dyDescent="0.2">
      <c r="A453" s="61"/>
      <c r="B453" s="61"/>
      <c r="C453" s="61"/>
      <c r="D453" s="31"/>
      <c r="E453" s="31"/>
      <c r="F453" s="31"/>
      <c r="G453" s="31"/>
      <c r="H453" s="31"/>
      <c r="I453" s="31"/>
      <c r="J453" s="61"/>
      <c r="K453" s="31"/>
      <c r="L453" s="31"/>
      <c r="M453" s="31"/>
      <c r="N453" s="31"/>
      <c r="O453" s="3"/>
      <c r="P453" s="3"/>
    </row>
    <row r="454" spans="1:16" x14ac:dyDescent="0.2">
      <c r="A454" s="61"/>
      <c r="B454" s="61"/>
      <c r="C454" s="61"/>
      <c r="D454" s="31"/>
      <c r="E454" s="31"/>
      <c r="F454" s="31"/>
      <c r="G454" s="31"/>
      <c r="H454" s="31"/>
      <c r="I454" s="31"/>
      <c r="J454" s="61"/>
      <c r="K454" s="31"/>
      <c r="L454" s="31"/>
      <c r="M454" s="31"/>
      <c r="N454" s="31"/>
      <c r="O454" s="3"/>
      <c r="P454" s="3"/>
    </row>
    <row r="455" spans="1:16" x14ac:dyDescent="0.2">
      <c r="A455" s="61"/>
      <c r="B455" s="61"/>
      <c r="C455" s="61"/>
      <c r="D455" s="31"/>
      <c r="E455" s="31"/>
      <c r="F455" s="31"/>
      <c r="G455" s="31"/>
      <c r="H455" s="31"/>
      <c r="I455" s="31"/>
      <c r="J455" s="61"/>
      <c r="K455" s="31"/>
      <c r="L455" s="31"/>
      <c r="M455" s="31"/>
      <c r="N455" s="31"/>
      <c r="O455" s="3"/>
      <c r="P455" s="3"/>
    </row>
    <row r="456" spans="1:16" x14ac:dyDescent="0.2">
      <c r="A456" s="61"/>
      <c r="B456" s="61"/>
      <c r="C456" s="61"/>
      <c r="D456" s="31"/>
      <c r="E456" s="31"/>
      <c r="F456" s="31"/>
      <c r="G456" s="31"/>
      <c r="H456" s="31"/>
      <c r="I456" s="31"/>
      <c r="J456" s="61"/>
      <c r="K456" s="31"/>
      <c r="L456" s="31"/>
      <c r="M456" s="31"/>
      <c r="N456" s="31"/>
      <c r="O456" s="3"/>
      <c r="P456" s="3"/>
    </row>
    <row r="457" spans="1:16" x14ac:dyDescent="0.2">
      <c r="A457" s="61"/>
      <c r="B457" s="61"/>
      <c r="C457" s="61"/>
      <c r="D457" s="31"/>
      <c r="E457" s="31"/>
      <c r="F457" s="31"/>
      <c r="G457" s="31"/>
      <c r="H457" s="31"/>
      <c r="I457" s="31"/>
      <c r="J457" s="61"/>
      <c r="K457" s="31"/>
      <c r="L457" s="31"/>
      <c r="M457" s="31"/>
      <c r="N457" s="31"/>
      <c r="O457" s="3"/>
      <c r="P457" s="3"/>
    </row>
    <row r="458" spans="1:16" x14ac:dyDescent="0.2">
      <c r="A458" s="61"/>
      <c r="B458" s="61"/>
      <c r="C458" s="61"/>
      <c r="D458" s="31"/>
      <c r="E458" s="31"/>
      <c r="F458" s="31"/>
      <c r="G458" s="31"/>
      <c r="H458" s="31"/>
      <c r="I458" s="31"/>
      <c r="J458" s="61"/>
      <c r="K458" s="31"/>
      <c r="L458" s="31"/>
      <c r="M458" s="31"/>
      <c r="N458" s="31"/>
      <c r="O458" s="3"/>
      <c r="P458" s="3"/>
    </row>
    <row r="459" spans="1:16" x14ac:dyDescent="0.2">
      <c r="A459" s="61"/>
      <c r="B459" s="61"/>
      <c r="C459" s="61"/>
      <c r="D459" s="31"/>
      <c r="E459" s="31"/>
      <c r="F459" s="31"/>
      <c r="G459" s="31"/>
      <c r="H459" s="31"/>
      <c r="I459" s="31"/>
      <c r="J459" s="61"/>
      <c r="K459" s="31"/>
      <c r="L459" s="31"/>
      <c r="M459" s="31"/>
      <c r="N459" s="31"/>
      <c r="O459" s="3"/>
      <c r="P459" s="3"/>
    </row>
    <row r="460" spans="1:16" x14ac:dyDescent="0.2">
      <c r="A460" s="61"/>
      <c r="B460" s="61"/>
      <c r="C460" s="61"/>
      <c r="D460" s="31"/>
      <c r="E460" s="31"/>
      <c r="F460" s="31"/>
      <c r="G460" s="31"/>
      <c r="H460" s="31"/>
      <c r="I460" s="31"/>
      <c r="J460" s="61"/>
      <c r="K460" s="14"/>
      <c r="L460" s="14"/>
      <c r="M460" s="14"/>
      <c r="N460" s="31"/>
      <c r="O460" s="3"/>
      <c r="P460" s="3"/>
    </row>
    <row r="461" spans="1:16" x14ac:dyDescent="0.2">
      <c r="A461" s="61"/>
      <c r="B461" s="61"/>
      <c r="C461" s="61"/>
      <c r="D461" s="31"/>
      <c r="E461" s="31"/>
      <c r="F461" s="31"/>
      <c r="G461" s="31"/>
      <c r="H461" s="31"/>
      <c r="I461" s="31"/>
      <c r="J461" s="15"/>
      <c r="K461" s="14"/>
      <c r="L461" s="14"/>
      <c r="M461" s="14"/>
      <c r="N461" s="15"/>
      <c r="O461" s="3"/>
      <c r="P461" s="3"/>
    </row>
    <row r="462" spans="1:16" x14ac:dyDescent="0.2">
      <c r="A462" s="61"/>
      <c r="B462" s="61"/>
      <c r="C462" s="61"/>
      <c r="D462" s="31"/>
      <c r="E462" s="31"/>
      <c r="F462" s="31"/>
      <c r="G462" s="31"/>
      <c r="H462" s="31"/>
      <c r="I462" s="31"/>
      <c r="J462" s="15"/>
      <c r="K462" s="14"/>
      <c r="L462" s="14"/>
      <c r="M462" s="14"/>
      <c r="N462" s="15"/>
      <c r="O462" s="3"/>
      <c r="P462" s="3"/>
    </row>
    <row r="463" spans="1:16" x14ac:dyDescent="0.2">
      <c r="A463" s="61"/>
      <c r="B463" s="61"/>
      <c r="C463" s="61"/>
      <c r="D463" s="31"/>
      <c r="E463" s="31"/>
      <c r="F463" s="31"/>
      <c r="G463" s="31"/>
      <c r="H463" s="31"/>
      <c r="I463" s="31"/>
      <c r="J463" s="15"/>
      <c r="K463" s="14"/>
      <c r="L463" s="14"/>
      <c r="M463" s="14"/>
      <c r="N463" s="15"/>
      <c r="O463" s="3"/>
      <c r="P463" s="3"/>
    </row>
    <row r="464" spans="1:16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4"/>
      <c r="L464" s="14"/>
      <c r="M464" s="14"/>
      <c r="N464" s="15"/>
      <c r="O464" s="3"/>
      <c r="P464" s="3"/>
    </row>
    <row r="465" spans="1:16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4"/>
      <c r="L465" s="14"/>
      <c r="M465" s="14"/>
      <c r="N465" s="15"/>
      <c r="O465" s="3"/>
      <c r="P465" s="3"/>
    </row>
    <row r="466" spans="1:16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4"/>
      <c r="L466" s="14"/>
      <c r="M466" s="14"/>
      <c r="N466" s="15"/>
      <c r="O466" s="3"/>
      <c r="P466" s="3"/>
    </row>
    <row r="467" spans="1:16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4"/>
      <c r="L467" s="14"/>
      <c r="M467" s="14"/>
      <c r="N467" s="15"/>
      <c r="O467" s="3"/>
      <c r="P467" s="3"/>
    </row>
    <row r="468" spans="1:16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4"/>
      <c r="L468" s="14"/>
      <c r="M468" s="14"/>
      <c r="N468" s="15"/>
      <c r="O468" s="3"/>
      <c r="P468" s="3"/>
    </row>
    <row r="469" spans="1:16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4"/>
      <c r="L469" s="14"/>
      <c r="M469" s="14"/>
      <c r="N469" s="15"/>
      <c r="O469" s="3"/>
      <c r="P469" s="3"/>
    </row>
    <row r="470" spans="1:16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4"/>
      <c r="L470" s="14"/>
      <c r="M470" s="14"/>
      <c r="N470" s="15"/>
      <c r="O470" s="3"/>
      <c r="P470" s="3"/>
    </row>
    <row r="471" spans="1:16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4"/>
      <c r="L471" s="14"/>
      <c r="M471" s="14"/>
      <c r="N471" s="15"/>
      <c r="O471" s="3"/>
      <c r="P471" s="3"/>
    </row>
    <row r="472" spans="1:16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4"/>
      <c r="L472" s="14"/>
      <c r="M472" s="14"/>
      <c r="N472" s="15"/>
      <c r="O472" s="3"/>
      <c r="P472" s="3"/>
    </row>
    <row r="473" spans="1:16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4"/>
      <c r="L473" s="14"/>
      <c r="M473" s="14"/>
      <c r="N473" s="15"/>
      <c r="O473" s="3"/>
      <c r="P473" s="3"/>
    </row>
    <row r="474" spans="1:16" x14ac:dyDescent="0.2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4"/>
      <c r="L474" s="14"/>
      <c r="M474" s="14"/>
      <c r="N474" s="15"/>
      <c r="O474" s="3"/>
      <c r="P474" s="3"/>
    </row>
    <row r="475" spans="1:16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4"/>
      <c r="L475" s="14"/>
      <c r="M475" s="14"/>
      <c r="N475" s="15"/>
      <c r="O475" s="3"/>
      <c r="P475" s="3"/>
    </row>
    <row r="476" spans="1:16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4"/>
      <c r="L476" s="14"/>
      <c r="M476" s="14"/>
      <c r="N476" s="15"/>
      <c r="O476" s="3"/>
      <c r="P476" s="3"/>
    </row>
    <row r="477" spans="1:16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4"/>
      <c r="L477" s="14"/>
      <c r="M477" s="14"/>
      <c r="N477" s="15"/>
      <c r="O477" s="3"/>
      <c r="P477" s="3"/>
    </row>
    <row r="478" spans="1:16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4"/>
      <c r="L478" s="14"/>
      <c r="M478" s="14"/>
      <c r="N478" s="15"/>
      <c r="O478" s="3"/>
      <c r="P478" s="3"/>
    </row>
    <row r="479" spans="1:16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4"/>
      <c r="L479" s="14"/>
      <c r="M479" s="14"/>
      <c r="N479" s="15"/>
      <c r="O479" s="3"/>
      <c r="P479" s="3"/>
    </row>
    <row r="480" spans="1:16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4"/>
      <c r="L480" s="14"/>
      <c r="M480" s="14"/>
      <c r="N480" s="15"/>
      <c r="O480" s="3"/>
      <c r="P480" s="3"/>
    </row>
    <row r="481" spans="1:16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4"/>
      <c r="L481" s="14"/>
      <c r="M481" s="14"/>
      <c r="N481" s="15"/>
      <c r="O481" s="3"/>
      <c r="P481" s="3"/>
    </row>
    <row r="482" spans="1:16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4"/>
      <c r="L482" s="14"/>
      <c r="M482" s="14"/>
      <c r="N482" s="15"/>
      <c r="O482" s="3"/>
      <c r="P482" s="3"/>
    </row>
    <row r="483" spans="1:16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4"/>
      <c r="L483" s="14"/>
      <c r="M483" s="14"/>
      <c r="N483" s="15"/>
      <c r="O483" s="3"/>
      <c r="P483" s="3"/>
    </row>
    <row r="484" spans="1:16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4"/>
      <c r="L484" s="14"/>
      <c r="M484" s="14"/>
      <c r="N484" s="15"/>
      <c r="O484" s="3"/>
      <c r="P484" s="3"/>
    </row>
    <row r="485" spans="1:16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4"/>
      <c r="L485" s="14"/>
      <c r="M485" s="14"/>
      <c r="N485" s="15"/>
      <c r="O485" s="3"/>
      <c r="P485" s="3"/>
    </row>
    <row r="486" spans="1:1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4"/>
      <c r="L486" s="14"/>
      <c r="M486" s="14"/>
      <c r="N486" s="15"/>
      <c r="O486" s="3"/>
      <c r="P486" s="3"/>
    </row>
    <row r="487" spans="1:1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4"/>
      <c r="L487" s="14"/>
      <c r="M487" s="14"/>
      <c r="N487" s="15"/>
      <c r="O487" s="3"/>
      <c r="P487" s="3"/>
    </row>
    <row r="488" spans="1:1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4"/>
      <c r="L488" s="14"/>
      <c r="M488" s="14"/>
      <c r="N488" s="15"/>
      <c r="O488" s="3"/>
      <c r="P488" s="3"/>
    </row>
    <row r="489" spans="1:1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4"/>
      <c r="L489" s="14"/>
      <c r="M489" s="14"/>
      <c r="N489" s="15"/>
      <c r="O489" s="3"/>
      <c r="P489" s="3"/>
    </row>
    <row r="490" spans="1:1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4"/>
      <c r="L490" s="14"/>
      <c r="M490" s="14"/>
      <c r="N490" s="15"/>
      <c r="O490" s="3"/>
      <c r="P490" s="3"/>
    </row>
    <row r="491" spans="1:1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4"/>
      <c r="L491" s="14"/>
      <c r="M491" s="14"/>
      <c r="N491" s="15"/>
      <c r="O491" s="3"/>
      <c r="P491" s="3"/>
    </row>
    <row r="492" spans="1:1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4"/>
      <c r="L492" s="14"/>
      <c r="M492" s="14"/>
      <c r="N492" s="15"/>
      <c r="O492" s="3"/>
      <c r="P492" s="3"/>
    </row>
    <row r="493" spans="1:1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4"/>
      <c r="L493" s="14"/>
      <c r="M493" s="14"/>
      <c r="N493" s="15"/>
      <c r="O493" s="3"/>
      <c r="P493" s="3"/>
    </row>
    <row r="494" spans="1:1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4"/>
      <c r="L494" s="14"/>
      <c r="M494" s="14"/>
      <c r="N494" s="15"/>
      <c r="O494" s="3"/>
      <c r="P494" s="3"/>
    </row>
    <row r="495" spans="1:1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4"/>
      <c r="L495" s="14"/>
      <c r="M495" s="14"/>
      <c r="N495" s="15"/>
      <c r="O495" s="3"/>
      <c r="P495" s="3"/>
    </row>
    <row r="496" spans="1:1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4"/>
      <c r="L496" s="14"/>
      <c r="M496" s="14"/>
      <c r="N496" s="15"/>
      <c r="O496" s="3"/>
      <c r="P496" s="3"/>
    </row>
    <row r="497" spans="1:1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4"/>
      <c r="L497" s="14"/>
      <c r="M497" s="14"/>
      <c r="N497" s="15"/>
      <c r="O497" s="3"/>
      <c r="P497" s="3"/>
    </row>
    <row r="498" spans="1:1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4"/>
      <c r="L498" s="14"/>
      <c r="M498" s="14"/>
      <c r="N498" s="15"/>
      <c r="O498" s="3"/>
      <c r="P498" s="3"/>
    </row>
    <row r="499" spans="1:1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4"/>
      <c r="L499" s="14"/>
      <c r="M499" s="14"/>
      <c r="N499" s="15"/>
      <c r="O499" s="3"/>
      <c r="P499" s="3"/>
    </row>
    <row r="500" spans="1:1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4"/>
      <c r="L500" s="14"/>
      <c r="M500" s="14"/>
      <c r="N500" s="15"/>
      <c r="O500" s="3"/>
      <c r="P500" s="3"/>
    </row>
    <row r="501" spans="1:1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4"/>
      <c r="L501" s="14"/>
      <c r="M501" s="14"/>
      <c r="N501" s="15"/>
      <c r="O501" s="3"/>
      <c r="P501" s="3"/>
    </row>
    <row r="502" spans="1:1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4"/>
      <c r="L502" s="14"/>
      <c r="M502" s="14"/>
      <c r="N502" s="15"/>
      <c r="O502" s="3"/>
      <c r="P502" s="3"/>
    </row>
    <row r="503" spans="1:1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4"/>
      <c r="L503" s="14"/>
      <c r="M503" s="14"/>
      <c r="N503" s="15"/>
      <c r="O503" s="3"/>
      <c r="P503" s="3"/>
    </row>
    <row r="504" spans="1:1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N504" s="15"/>
      <c r="O504" s="3"/>
      <c r="P504" s="3"/>
    </row>
  </sheetData>
  <mergeCells count="400">
    <mergeCell ref="M5:N5"/>
    <mergeCell ref="N6:N53"/>
    <mergeCell ref="BC59:BD59"/>
    <mergeCell ref="F57:F58"/>
    <mergeCell ref="U57:U104"/>
    <mergeCell ref="AY61:AZ61"/>
    <mergeCell ref="AY68:AZ68"/>
    <mergeCell ref="AA58:AB58"/>
    <mergeCell ref="AA65:AB65"/>
    <mergeCell ref="AY64:AZ64"/>
    <mergeCell ref="AY65:AZ65"/>
    <mergeCell ref="AY66:AZ66"/>
    <mergeCell ref="AA63:AB63"/>
    <mergeCell ref="AA64:AB64"/>
    <mergeCell ref="AA59:AB59"/>
    <mergeCell ref="AE58:AF58"/>
    <mergeCell ref="AW68:AX68"/>
    <mergeCell ref="AU68:AV68"/>
    <mergeCell ref="BC66:BD66"/>
    <mergeCell ref="AI58:AJ58"/>
    <mergeCell ref="BA103:BF104"/>
    <mergeCell ref="BA101:BF102"/>
    <mergeCell ref="AA60:AB60"/>
    <mergeCell ref="G57:G58"/>
    <mergeCell ref="EQ219:EQ221"/>
    <mergeCell ref="EO216:EO218"/>
    <mergeCell ref="EQ216:EQ218"/>
    <mergeCell ref="ES216:ES218"/>
    <mergeCell ref="ES222:ES224"/>
    <mergeCell ref="EO204:EO206"/>
    <mergeCell ref="EQ204:EQ206"/>
    <mergeCell ref="A2:M2"/>
    <mergeCell ref="A3:M3"/>
    <mergeCell ref="A4:M4"/>
    <mergeCell ref="AA2:AJ2"/>
    <mergeCell ref="AA3:AJ3"/>
    <mergeCell ref="E6:E7"/>
    <mergeCell ref="F6:F7"/>
    <mergeCell ref="G6:G7"/>
    <mergeCell ref="H6:H7"/>
    <mergeCell ref="C6:C7"/>
    <mergeCell ref="O4:X4"/>
    <mergeCell ref="AA4:AJ4"/>
    <mergeCell ref="O2:X2"/>
    <mergeCell ref="O3:X3"/>
    <mergeCell ref="AJ6:AJ53"/>
    <mergeCell ref="J6:J7"/>
    <mergeCell ref="K6:K7"/>
    <mergeCell ref="ES204:ES206"/>
    <mergeCell ref="ES195:ES197"/>
    <mergeCell ref="EO192:EO194"/>
    <mergeCell ref="EQ192:EQ194"/>
    <mergeCell ref="ES192:ES194"/>
    <mergeCell ref="ES213:ES215"/>
    <mergeCell ref="EO213:EO215"/>
    <mergeCell ref="EQ213:EQ215"/>
    <mergeCell ref="EQ201:EQ203"/>
    <mergeCell ref="EQ198:EQ200"/>
    <mergeCell ref="ES198:ES200"/>
    <mergeCell ref="EO249:EO251"/>
    <mergeCell ref="HE259:HE261"/>
    <mergeCell ref="EO258:EO260"/>
    <mergeCell ref="EQ258:EQ260"/>
    <mergeCell ref="ET240:ET242"/>
    <mergeCell ref="EO243:EO245"/>
    <mergeCell ref="EQ243:EQ245"/>
    <mergeCell ref="ES243:ES245"/>
    <mergeCell ref="ET249:ET251"/>
    <mergeCell ref="EO252:EO254"/>
    <mergeCell ref="EQ249:EQ251"/>
    <mergeCell ref="GU259:GU261"/>
    <mergeCell ref="GU253:GU255"/>
    <mergeCell ref="GW253:GW255"/>
    <mergeCell ref="GX253:GX255"/>
    <mergeCell ref="EO255:EO257"/>
    <mergeCell ref="ET252:ET254"/>
    <mergeCell ref="GU250:GU252"/>
    <mergeCell ref="GW250:GW252"/>
    <mergeCell ref="ES249:ES251"/>
    <mergeCell ref="GW256:GW258"/>
    <mergeCell ref="EQ252:EQ254"/>
    <mergeCell ref="ES252:ES254"/>
    <mergeCell ref="ET243:ET245"/>
    <mergeCell ref="HC253:HC255"/>
    <mergeCell ref="HF247:HF249"/>
    <mergeCell ref="HE247:HE249"/>
    <mergeCell ref="HF256:HF258"/>
    <mergeCell ref="GX256:GX258"/>
    <mergeCell ref="HA256:HA258"/>
    <mergeCell ref="HC256:HC258"/>
    <mergeCell ref="HE250:HE252"/>
    <mergeCell ref="HF253:HF255"/>
    <mergeCell ref="EQ255:EQ257"/>
    <mergeCell ref="ES255:ES257"/>
    <mergeCell ref="ET255:ET257"/>
    <mergeCell ref="ES258:ES260"/>
    <mergeCell ref="ET258:ET260"/>
    <mergeCell ref="GX259:GX261"/>
    <mergeCell ref="GW259:GW261"/>
    <mergeCell ref="EW255:EW257"/>
    <mergeCell ref="GU256:GU258"/>
    <mergeCell ref="EW258:EW260"/>
    <mergeCell ref="HA232:HA234"/>
    <mergeCell ref="HA229:HA231"/>
    <mergeCell ref="HC229:HC231"/>
    <mergeCell ref="HC232:HC234"/>
    <mergeCell ref="GW232:GW234"/>
    <mergeCell ref="GX232:GX234"/>
    <mergeCell ref="GU241:GU243"/>
    <mergeCell ref="HF250:HF252"/>
    <mergeCell ref="HC259:HC261"/>
    <mergeCell ref="HC247:HC249"/>
    <mergeCell ref="HF259:HF261"/>
    <mergeCell ref="HE229:HE231"/>
    <mergeCell ref="HF229:HF231"/>
    <mergeCell ref="HE232:HE234"/>
    <mergeCell ref="HF232:HF234"/>
    <mergeCell ref="HE241:HE243"/>
    <mergeCell ref="HF241:HF243"/>
    <mergeCell ref="HE244:HE246"/>
    <mergeCell ref="HF244:HF246"/>
    <mergeCell ref="HA259:HA261"/>
    <mergeCell ref="HE256:HE258"/>
    <mergeCell ref="HE253:HE255"/>
    <mergeCell ref="HC250:HC252"/>
    <mergeCell ref="HA253:HA255"/>
    <mergeCell ref="ES246:ES248"/>
    <mergeCell ref="ET246:ET248"/>
    <mergeCell ref="EQ246:EQ248"/>
    <mergeCell ref="EO246:EO248"/>
    <mergeCell ref="EO240:EO242"/>
    <mergeCell ref="EQ240:EQ242"/>
    <mergeCell ref="ES240:ES242"/>
    <mergeCell ref="EO231:EO233"/>
    <mergeCell ref="EQ231:EQ233"/>
    <mergeCell ref="EO228:EO230"/>
    <mergeCell ref="EQ228:EQ230"/>
    <mergeCell ref="EW228:EW230"/>
    <mergeCell ref="GU229:GU231"/>
    <mergeCell ref="EW231:EW233"/>
    <mergeCell ref="GU232:GU234"/>
    <mergeCell ref="ES228:ES230"/>
    <mergeCell ref="EW222:EW224"/>
    <mergeCell ref="GU223:GU225"/>
    <mergeCell ref="GU220:GU222"/>
    <mergeCell ref="ES231:ES233"/>
    <mergeCell ref="ET231:ET233"/>
    <mergeCell ref="ET228:ET230"/>
    <mergeCell ref="EO225:EO227"/>
    <mergeCell ref="EQ225:EQ227"/>
    <mergeCell ref="ES225:ES227"/>
    <mergeCell ref="ET225:ET227"/>
    <mergeCell ref="EW225:EW227"/>
    <mergeCell ref="ET222:ET224"/>
    <mergeCell ref="ET219:ET221"/>
    <mergeCell ref="ES219:ES221"/>
    <mergeCell ref="EO219:EO221"/>
    <mergeCell ref="EO222:EO224"/>
    <mergeCell ref="EQ222:EQ224"/>
    <mergeCell ref="EW249:EW251"/>
    <mergeCell ref="HC241:HC243"/>
    <mergeCell ref="HA244:HA246"/>
    <mergeCell ref="HC244:HC246"/>
    <mergeCell ref="EW243:EW245"/>
    <mergeCell ref="GW229:GW231"/>
    <mergeCell ref="GX229:GX231"/>
    <mergeCell ref="GW226:GW228"/>
    <mergeCell ref="GW241:GW243"/>
    <mergeCell ref="GX241:GX243"/>
    <mergeCell ref="HA241:HA243"/>
    <mergeCell ref="GX247:GX249"/>
    <mergeCell ref="HA247:HA249"/>
    <mergeCell ref="HA250:HA252"/>
    <mergeCell ref="GX250:GX252"/>
    <mergeCell ref="EW252:EW254"/>
    <mergeCell ref="EW246:EW248"/>
    <mergeCell ref="GU247:GU249"/>
    <mergeCell ref="GW247:GW249"/>
    <mergeCell ref="GU226:GU228"/>
    <mergeCell ref="EW240:EW242"/>
    <mergeCell ref="GU244:GU246"/>
    <mergeCell ref="GW244:GW246"/>
    <mergeCell ref="GX244:GX246"/>
    <mergeCell ref="HF226:HF228"/>
    <mergeCell ref="HF223:HF225"/>
    <mergeCell ref="GX226:GX228"/>
    <mergeCell ref="HE226:HE228"/>
    <mergeCell ref="GW217:GW219"/>
    <mergeCell ref="GW220:GW222"/>
    <mergeCell ref="HC220:HC222"/>
    <mergeCell ref="HE220:HE222"/>
    <mergeCell ref="HE217:HE219"/>
    <mergeCell ref="GX220:GX222"/>
    <mergeCell ref="HA220:HA222"/>
    <mergeCell ref="GW223:GW225"/>
    <mergeCell ref="HA223:HA225"/>
    <mergeCell ref="HC223:HC225"/>
    <mergeCell ref="HE223:HE225"/>
    <mergeCell ref="HA226:HA228"/>
    <mergeCell ref="HF220:HF222"/>
    <mergeCell ref="HC226:HC228"/>
    <mergeCell ref="GX223:GX225"/>
    <mergeCell ref="HF217:HF219"/>
    <mergeCell ref="HC217:HC219"/>
    <mergeCell ref="HC193:HC195"/>
    <mergeCell ref="HE199:HE201"/>
    <mergeCell ref="HF205:HF207"/>
    <mergeCell ref="HE202:HE204"/>
    <mergeCell ref="HC202:HC204"/>
    <mergeCell ref="HC205:HC207"/>
    <mergeCell ref="HE205:HE207"/>
    <mergeCell ref="EW201:EW203"/>
    <mergeCell ref="GU202:GU204"/>
    <mergeCell ref="EW204:EW206"/>
    <mergeCell ref="EW195:EW197"/>
    <mergeCell ref="HF199:HF201"/>
    <mergeCell ref="HA193:HA195"/>
    <mergeCell ref="HE214:HE216"/>
    <mergeCell ref="GX214:GX216"/>
    <mergeCell ref="HC214:HC216"/>
    <mergeCell ref="HF214:HF216"/>
    <mergeCell ref="HC199:HC201"/>
    <mergeCell ref="HF202:HF204"/>
    <mergeCell ref="GW214:GW216"/>
    <mergeCell ref="EW216:EW218"/>
    <mergeCell ref="GX217:GX219"/>
    <mergeCell ref="HA217:HA219"/>
    <mergeCell ref="HF187:HF189"/>
    <mergeCell ref="HC187:HC189"/>
    <mergeCell ref="HC190:HC192"/>
    <mergeCell ref="HE190:HE192"/>
    <mergeCell ref="HF190:HF192"/>
    <mergeCell ref="HA199:HA201"/>
    <mergeCell ref="GX193:GX195"/>
    <mergeCell ref="GW199:GW201"/>
    <mergeCell ref="GX199:GX201"/>
    <mergeCell ref="HA196:HA198"/>
    <mergeCell ref="HC196:HC198"/>
    <mergeCell ref="GW193:GW195"/>
    <mergeCell ref="HA190:HA192"/>
    <mergeCell ref="GX187:GX189"/>
    <mergeCell ref="HA187:HA189"/>
    <mergeCell ref="GX190:GX192"/>
    <mergeCell ref="GW187:GW189"/>
    <mergeCell ref="GW190:GW192"/>
    <mergeCell ref="HF196:HF198"/>
    <mergeCell ref="HE193:HE195"/>
    <mergeCell ref="HE187:HE189"/>
    <mergeCell ref="HF193:HF195"/>
    <mergeCell ref="GX196:GX198"/>
    <mergeCell ref="HE196:HE198"/>
    <mergeCell ref="ET213:ET215"/>
    <mergeCell ref="ET216:ET218"/>
    <mergeCell ref="GU196:GU198"/>
    <mergeCell ref="EW198:EW200"/>
    <mergeCell ref="GU199:GU201"/>
    <mergeCell ref="GW196:GW198"/>
    <mergeCell ref="GU205:GU207"/>
    <mergeCell ref="GW205:GW207"/>
    <mergeCell ref="GW202:GW204"/>
    <mergeCell ref="ET198:ET200"/>
    <mergeCell ref="ET201:ET203"/>
    <mergeCell ref="ET195:ET197"/>
    <mergeCell ref="ET204:ET206"/>
    <mergeCell ref="GU217:GU219"/>
    <mergeCell ref="EW219:EW221"/>
    <mergeCell ref="EW213:EW215"/>
    <mergeCell ref="GU214:GU216"/>
    <mergeCell ref="EW189:EW191"/>
    <mergeCell ref="GU187:GU189"/>
    <mergeCell ref="HA214:HA216"/>
    <mergeCell ref="GX205:GX207"/>
    <mergeCell ref="HA205:HA207"/>
    <mergeCell ref="GX202:GX204"/>
    <mergeCell ref="HA202:HA204"/>
    <mergeCell ref="EQ189:EQ191"/>
    <mergeCell ref="AA61:AB61"/>
    <mergeCell ref="AA62:AB62"/>
    <mergeCell ref="BE65:BF65"/>
    <mergeCell ref="GU190:GU192"/>
    <mergeCell ref="EW192:EW194"/>
    <mergeCell ref="GU193:GU195"/>
    <mergeCell ref="ES189:ES191"/>
    <mergeCell ref="ET189:ET191"/>
    <mergeCell ref="ET186:ET188"/>
    <mergeCell ref="BC67:BD67"/>
    <mergeCell ref="EO195:EO197"/>
    <mergeCell ref="BE67:BF67"/>
    <mergeCell ref="BE62:BF62"/>
    <mergeCell ref="BA62:BB62"/>
    <mergeCell ref="AW65:AX65"/>
    <mergeCell ref="AY67:AZ67"/>
    <mergeCell ref="EW186:EW188"/>
    <mergeCell ref="AW64:AX64"/>
    <mergeCell ref="AW63:AX63"/>
    <mergeCell ref="AU62:AV62"/>
    <mergeCell ref="AU63:AV63"/>
    <mergeCell ref="AY62:AZ62"/>
    <mergeCell ref="AY63:AZ63"/>
    <mergeCell ref="AW62:AX62"/>
    <mergeCell ref="AW61:AX61"/>
    <mergeCell ref="AU67:AV67"/>
    <mergeCell ref="BG58:BG104"/>
    <mergeCell ref="BC68:BD68"/>
    <mergeCell ref="BA68:BB68"/>
    <mergeCell ref="BE59:BF59"/>
    <mergeCell ref="BA67:BB67"/>
    <mergeCell ref="BC65:BD65"/>
    <mergeCell ref="ES186:ES188"/>
    <mergeCell ref="BA63:BB63"/>
    <mergeCell ref="BA64:BB64"/>
    <mergeCell ref="BA65:BB65"/>
    <mergeCell ref="BC63:BD63"/>
    <mergeCell ref="BC64:BD64"/>
    <mergeCell ref="EQ186:EQ188"/>
    <mergeCell ref="AU58:AV58"/>
    <mergeCell ref="ET192:ET194"/>
    <mergeCell ref="EO186:EO188"/>
    <mergeCell ref="BE64:BF64"/>
    <mergeCell ref="AW66:AX66"/>
    <mergeCell ref="EQ195:EQ197"/>
    <mergeCell ref="EO201:EO203"/>
    <mergeCell ref="CH6:CH7"/>
    <mergeCell ref="CH57:CH58"/>
    <mergeCell ref="CG6:CG7"/>
    <mergeCell ref="CF57:CF58"/>
    <mergeCell ref="CG57:CG58"/>
    <mergeCell ref="BE58:BF58"/>
    <mergeCell ref="AW58:AZ58"/>
    <mergeCell ref="BE61:BF61"/>
    <mergeCell ref="BE63:BF63"/>
    <mergeCell ref="BE68:BF68"/>
    <mergeCell ref="BE66:BF66"/>
    <mergeCell ref="AW67:AX67"/>
    <mergeCell ref="BA58:BD58"/>
    <mergeCell ref="EO198:EO200"/>
    <mergeCell ref="EO189:EO191"/>
    <mergeCell ref="ES201:ES203"/>
    <mergeCell ref="AA54:AJ54"/>
    <mergeCell ref="CF6:CF7"/>
    <mergeCell ref="AU56:AW56"/>
    <mergeCell ref="AX56:AZ56"/>
    <mergeCell ref="BF57:BG57"/>
    <mergeCell ref="AX55:AZ55"/>
    <mergeCell ref="AA55:AJ55"/>
    <mergeCell ref="AJ57:AK57"/>
    <mergeCell ref="AU53:BF54"/>
    <mergeCell ref="BA55:BF55"/>
    <mergeCell ref="BA56:BF56"/>
    <mergeCell ref="AU55:AW55"/>
    <mergeCell ref="J57:J58"/>
    <mergeCell ref="L57:L58"/>
    <mergeCell ref="M57:M58"/>
    <mergeCell ref="AG58:AH58"/>
    <mergeCell ref="AC58:AD58"/>
    <mergeCell ref="A56:N56"/>
    <mergeCell ref="N57:N104"/>
    <mergeCell ref="AA56:AJ56"/>
    <mergeCell ref="AA67:AB67"/>
    <mergeCell ref="AA68:AB68"/>
    <mergeCell ref="AA66:AB66"/>
    <mergeCell ref="O56:X56"/>
    <mergeCell ref="K57:K58"/>
    <mergeCell ref="A57:A58"/>
    <mergeCell ref="B57:B58"/>
    <mergeCell ref="C57:C58"/>
    <mergeCell ref="E57:E58"/>
    <mergeCell ref="D57:D58"/>
    <mergeCell ref="H57:H58"/>
    <mergeCell ref="I57:I58"/>
    <mergeCell ref="A54:M54"/>
    <mergeCell ref="A55:M55"/>
    <mergeCell ref="A6:A7"/>
    <mergeCell ref="B6:B7"/>
    <mergeCell ref="I6:I7"/>
    <mergeCell ref="U6:U53"/>
    <mergeCell ref="L6:L7"/>
    <mergeCell ref="D6:D7"/>
    <mergeCell ref="O55:X55"/>
    <mergeCell ref="O54:X54"/>
    <mergeCell ref="M6:M7"/>
    <mergeCell ref="AK58:AK104"/>
    <mergeCell ref="BA59:BB59"/>
    <mergeCell ref="AU59:AV59"/>
    <mergeCell ref="AU60:AV60"/>
    <mergeCell ref="AY60:AZ60"/>
    <mergeCell ref="BE60:BF60"/>
    <mergeCell ref="AW59:AX59"/>
    <mergeCell ref="AY59:AZ59"/>
    <mergeCell ref="BC62:BD62"/>
    <mergeCell ref="AW60:AX60"/>
    <mergeCell ref="BA60:BB60"/>
    <mergeCell ref="BA61:BB61"/>
    <mergeCell ref="BC60:BD60"/>
    <mergeCell ref="BC61:BD61"/>
    <mergeCell ref="BA66:BB66"/>
    <mergeCell ref="AU65:AV65"/>
    <mergeCell ref="AU66:AV66"/>
    <mergeCell ref="AU64:AV64"/>
    <mergeCell ref="AU61:AV61"/>
  </mergeCells>
  <phoneticPr fontId="0" type="noConversion"/>
  <printOptions horizontalCentered="1"/>
  <pageMargins left="0.75" right="0.75" top="0.75" bottom="0.75" header="0.5" footer="0.5"/>
  <pageSetup scale="65" fitToWidth="3" fitToHeight="2" orientation="portrait" r:id="rId1"/>
  <headerFooter alignWithMargins="0"/>
  <rowBreaks count="1" manualBreakCount="1">
    <brk id="53" max="36" man="1"/>
  </rowBreaks>
  <colBreaks count="2" manualBreakCount="2">
    <brk id="14" min="1" max="103" man="1"/>
    <brk id="25" min="1" max="103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1111297"/>
  <dimension ref="A1:HH504"/>
  <sheetViews>
    <sheetView tabSelected="1" topLeftCell="O52" zoomScale="70" zoomScaleNormal="25" zoomScaleSheetLayoutView="25" workbookViewId="0">
      <selection activeCell="AQ97" sqref="AQ97"/>
    </sheetView>
  </sheetViews>
  <sheetFormatPr defaultColWidth="6.7109375" defaultRowHeight="12" x14ac:dyDescent="0.2"/>
  <cols>
    <col min="1" max="1" width="10.7109375" style="221" customWidth="1"/>
    <col min="2" max="2" width="9.42578125" style="221" customWidth="1"/>
    <col min="3" max="4" width="9.7109375" style="221" customWidth="1"/>
    <col min="5" max="5" width="10" style="221" customWidth="1"/>
    <col min="6" max="6" width="9.7109375" style="221" customWidth="1"/>
    <col min="7" max="7" width="10.140625" style="221" customWidth="1"/>
    <col min="8" max="8" width="10" style="221" customWidth="1"/>
    <col min="9" max="9" width="10.140625" style="221" customWidth="1"/>
    <col min="10" max="10" width="10" style="221" customWidth="1"/>
    <col min="11" max="13" width="10.7109375" style="222" customWidth="1"/>
    <col min="14" max="14" width="0.85546875" style="221" customWidth="1"/>
    <col min="15" max="24" width="10.7109375" style="230" customWidth="1"/>
    <col min="25" max="26" width="2.7109375" style="230" customWidth="1"/>
    <col min="27" max="28" width="10.7109375" style="230" customWidth="1"/>
    <col min="29" max="29" width="8.28515625" style="230" customWidth="1"/>
    <col min="30" max="30" width="13.28515625" style="230" customWidth="1"/>
    <col min="31" max="31" width="8.28515625" style="230" customWidth="1"/>
    <col min="32" max="32" width="13.28515625" style="230" customWidth="1"/>
    <col min="33" max="33" width="8.28515625" style="230" customWidth="1"/>
    <col min="34" max="34" width="13.28515625" style="230" customWidth="1"/>
    <col min="35" max="35" width="8.28515625" style="230" customWidth="1"/>
    <col min="36" max="36" width="13.28515625" style="230" customWidth="1"/>
    <col min="37" max="37" width="0.5703125" style="230" customWidth="1"/>
    <col min="38" max="46" width="7.85546875" style="230" customWidth="1"/>
    <col min="47" max="47" width="8.5703125" style="230" customWidth="1"/>
    <col min="48" max="48" width="8.140625" style="230" customWidth="1"/>
    <col min="49" max="49" width="10" style="230" customWidth="1"/>
    <col min="50" max="50" width="10.85546875" style="230" customWidth="1"/>
    <col min="51" max="52" width="10.5703125" style="230" customWidth="1"/>
    <col min="53" max="53" width="10" style="230" customWidth="1"/>
    <col min="54" max="55" width="10.5703125" style="230" customWidth="1"/>
    <col min="56" max="56" width="10.28515625" style="230" customWidth="1"/>
    <col min="57" max="57" width="11.140625" style="230" customWidth="1"/>
    <col min="58" max="58" width="12.42578125" style="230" customWidth="1"/>
    <col min="59" max="59" width="1.85546875" style="230" customWidth="1"/>
    <col min="60" max="83" width="6.7109375" style="230" customWidth="1"/>
    <col min="84" max="85" width="8.7109375" style="230" customWidth="1"/>
    <col min="86" max="16384" width="6.7109375" style="230"/>
  </cols>
  <sheetData>
    <row r="1" spans="1:85" s="221" customFormat="1" x14ac:dyDescent="0.2">
      <c r="K1" s="222"/>
      <c r="L1" s="222"/>
      <c r="M1" s="222"/>
      <c r="AL1" s="221">
        <v>0</v>
      </c>
      <c r="AM1" s="221">
        <v>2</v>
      </c>
      <c r="AN1" s="221">
        <v>4</v>
      </c>
      <c r="AO1" s="221">
        <v>19.333333333333332</v>
      </c>
      <c r="AP1" s="221">
        <v>-2</v>
      </c>
      <c r="AQ1" s="221">
        <v>-10</v>
      </c>
      <c r="AR1" s="221">
        <v>0</v>
      </c>
      <c r="AS1" s="221">
        <v>1280</v>
      </c>
      <c r="AT1" s="221">
        <v>-4</v>
      </c>
      <c r="AX1" s="221" t="s">
        <v>43</v>
      </c>
      <c r="AY1" s="223">
        <v>20.12</v>
      </c>
    </row>
    <row r="2" spans="1:85" s="221" customFormat="1" ht="16.5" x14ac:dyDescent="0.25">
      <c r="A2" s="224" t="s">
        <v>139</v>
      </c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5"/>
      <c r="O2" s="224" t="str">
        <f>A2</f>
        <v>PARAGON DPDS3 Drillship (Alum) / Riser Analysis Detailed Results</v>
      </c>
      <c r="P2" s="224"/>
      <c r="Q2" s="224"/>
      <c r="R2" s="224"/>
      <c r="S2" s="224"/>
      <c r="T2" s="224"/>
      <c r="U2" s="224"/>
      <c r="V2" s="224"/>
      <c r="W2" s="224"/>
      <c r="X2" s="224"/>
      <c r="Y2" s="226"/>
      <c r="Z2" s="226"/>
      <c r="AA2" s="224" t="str">
        <f>O2</f>
        <v>PARAGON DPDS3 Drillship (Alum) / Riser Analysis Detailed Results</v>
      </c>
      <c r="AB2" s="224"/>
      <c r="AC2" s="224"/>
      <c r="AD2" s="224"/>
      <c r="AE2" s="224"/>
      <c r="AF2" s="224"/>
      <c r="AG2" s="224"/>
      <c r="AH2" s="224"/>
      <c r="AI2" s="224"/>
      <c r="AJ2" s="224"/>
      <c r="AL2" s="221">
        <f>B17+100</f>
        <v>1380</v>
      </c>
      <c r="AM2" s="221">
        <v>2</v>
      </c>
      <c r="AN2" s="221">
        <v>4</v>
      </c>
      <c r="AO2" s="221">
        <v>19.333333333333332</v>
      </c>
      <c r="AP2" s="221">
        <v>-2</v>
      </c>
      <c r="AQ2" s="221">
        <v>9</v>
      </c>
      <c r="AR2" s="221">
        <v>100</v>
      </c>
      <c r="AS2" s="221">
        <v>1280</v>
      </c>
      <c r="AT2" s="221">
        <v>-4</v>
      </c>
    </row>
    <row r="3" spans="1:85" s="221" customFormat="1" ht="15" x14ac:dyDescent="0.25">
      <c r="A3" s="227" t="s">
        <v>140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5"/>
      <c r="O3" s="227" t="str">
        <f>A3</f>
        <v>1099.1 ft Water Depth / 0.5-Year South Current w/ 0.5-Year SW Waves / RWF=1.00,BRF=0.96</v>
      </c>
      <c r="P3" s="227"/>
      <c r="Q3" s="227"/>
      <c r="R3" s="227"/>
      <c r="S3" s="227"/>
      <c r="T3" s="227"/>
      <c r="U3" s="227"/>
      <c r="V3" s="227"/>
      <c r="W3" s="227"/>
      <c r="X3" s="227"/>
      <c r="Y3" s="228"/>
      <c r="Z3" s="228"/>
      <c r="AA3" s="227" t="str">
        <f>O3</f>
        <v>1099.1 ft Water Depth / 0.5-Year South Current w/ 0.5-Year SW Waves / RWF=1.00,BRF=0.96</v>
      </c>
      <c r="AB3" s="227"/>
      <c r="AC3" s="227"/>
      <c r="AD3" s="227"/>
      <c r="AE3" s="227"/>
      <c r="AF3" s="227"/>
      <c r="AG3" s="227"/>
      <c r="AH3" s="227"/>
      <c r="AI3" s="227"/>
      <c r="AJ3" s="227"/>
      <c r="AO3" s="221">
        <v>10</v>
      </c>
      <c r="AQ3" s="221">
        <v>11</v>
      </c>
      <c r="AT3" s="221">
        <v>1099.0999755859375</v>
      </c>
    </row>
    <row r="4" spans="1:85" ht="15" x14ac:dyDescent="0.25">
      <c r="A4" s="227" t="s">
        <v>141</v>
      </c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9"/>
      <c r="O4" s="227" t="str">
        <f>A4</f>
        <v>2.69 knot Surface Current /  Mud Weight = 11 PPG / 8 x 120 kips + 4 x 80 kips</v>
      </c>
      <c r="P4" s="227"/>
      <c r="Q4" s="227"/>
      <c r="R4" s="227"/>
      <c r="S4" s="227"/>
      <c r="T4" s="227"/>
      <c r="U4" s="227"/>
      <c r="V4" s="227"/>
      <c r="W4" s="227"/>
      <c r="X4" s="227"/>
      <c r="Y4" s="228"/>
      <c r="Z4" s="228"/>
      <c r="AA4" s="227" t="str">
        <f>O4</f>
        <v>2.69 knot Surface Current /  Mud Weight = 11 PPG / 8 x 120 kips + 4 x 80 kips</v>
      </c>
      <c r="AB4" s="227"/>
      <c r="AC4" s="227"/>
      <c r="AD4" s="227"/>
      <c r="AE4" s="227"/>
      <c r="AF4" s="227"/>
      <c r="AG4" s="227"/>
      <c r="AH4" s="227"/>
      <c r="AI4" s="227"/>
      <c r="AJ4" s="227"/>
      <c r="AO4" s="221">
        <v>10</v>
      </c>
      <c r="AQ4" s="221"/>
      <c r="AR4" s="221"/>
      <c r="AS4" s="221"/>
      <c r="AT4" s="221"/>
    </row>
    <row r="5" spans="1:85" ht="4.5" customHeight="1" thickBot="1" x14ac:dyDescent="0.25">
      <c r="J5" s="225"/>
      <c r="K5" s="231"/>
      <c r="L5" s="231"/>
      <c r="M5" s="232"/>
      <c r="N5" s="232"/>
      <c r="O5" s="233"/>
      <c r="P5" s="233"/>
      <c r="Q5" s="234"/>
      <c r="R5" s="233"/>
      <c r="S5" s="233"/>
      <c r="T5" s="233"/>
      <c r="U5" s="233"/>
      <c r="V5" s="233"/>
      <c r="W5" s="233"/>
      <c r="X5" s="234"/>
      <c r="Y5" s="234"/>
      <c r="AO5" s="221"/>
      <c r="AQ5" s="221"/>
      <c r="AR5" s="221"/>
      <c r="AS5" s="221"/>
      <c r="AT5" s="221"/>
    </row>
    <row r="6" spans="1:85" ht="18" customHeight="1" x14ac:dyDescent="0.2">
      <c r="A6" s="235" t="s">
        <v>0</v>
      </c>
      <c r="B6" s="236" t="s">
        <v>15</v>
      </c>
      <c r="C6" s="236" t="s">
        <v>16</v>
      </c>
      <c r="D6" s="237" t="s">
        <v>17</v>
      </c>
      <c r="E6" s="236" t="s">
        <v>12</v>
      </c>
      <c r="F6" s="237" t="s">
        <v>2</v>
      </c>
      <c r="G6" s="236" t="s">
        <v>7</v>
      </c>
      <c r="H6" s="237" t="s">
        <v>6</v>
      </c>
      <c r="I6" s="236" t="s">
        <v>9</v>
      </c>
      <c r="J6" s="237" t="s">
        <v>8</v>
      </c>
      <c r="K6" s="238" t="s">
        <v>13</v>
      </c>
      <c r="L6" s="239" t="s">
        <v>48</v>
      </c>
      <c r="M6" s="238" t="s">
        <v>14</v>
      </c>
      <c r="N6" s="240"/>
      <c r="O6" s="234"/>
      <c r="P6" s="234"/>
      <c r="Q6" s="234"/>
      <c r="R6" s="241"/>
      <c r="S6" s="241"/>
      <c r="T6" s="241"/>
      <c r="U6" s="242"/>
      <c r="V6" s="234"/>
      <c r="W6" s="234"/>
      <c r="X6" s="234"/>
      <c r="Y6" s="234"/>
      <c r="AA6" s="234"/>
      <c r="AB6" s="234"/>
      <c r="AC6" s="234"/>
      <c r="AD6" s="241"/>
      <c r="AE6" s="241"/>
      <c r="AF6" s="241"/>
      <c r="AG6" s="241"/>
      <c r="AH6" s="234"/>
      <c r="AI6" s="234"/>
      <c r="AJ6" s="243"/>
      <c r="AQ6" s="222" t="e">
        <f>MAX(BM51:BM52)</f>
        <v>#N/A</v>
      </c>
      <c r="AR6" s="244">
        <v>447.60696411132812</v>
      </c>
      <c r="AS6" s="245">
        <f>BD6*BD7*BE6*AU6*BF6</f>
        <v>1151.9999694824219</v>
      </c>
      <c r="AT6" s="244">
        <v>15</v>
      </c>
      <c r="AU6" s="221">
        <v>1</v>
      </c>
      <c r="AV6" s="246">
        <f>AR6-50+307-100</f>
        <v>604.60696411132812</v>
      </c>
      <c r="AW6" s="221">
        <v>1</v>
      </c>
      <c r="AX6" s="247" t="s">
        <v>49</v>
      </c>
      <c r="BD6" s="248">
        <v>10.666666984558105</v>
      </c>
      <c r="BE6" s="247">
        <v>0.89999997615814209</v>
      </c>
      <c r="BF6" s="230">
        <v>1</v>
      </c>
      <c r="CF6" s="249" t="s">
        <v>99</v>
      </c>
      <c r="CG6" s="237" t="s">
        <v>100</v>
      </c>
    </row>
    <row r="7" spans="1:85" ht="18" customHeight="1" x14ac:dyDescent="0.2">
      <c r="A7" s="250"/>
      <c r="B7" s="251"/>
      <c r="C7" s="251"/>
      <c r="D7" s="252"/>
      <c r="E7" s="251"/>
      <c r="F7" s="252"/>
      <c r="G7" s="251"/>
      <c r="H7" s="252"/>
      <c r="I7" s="251"/>
      <c r="J7" s="252"/>
      <c r="K7" s="253"/>
      <c r="L7" s="254"/>
      <c r="M7" s="253"/>
      <c r="N7" s="240"/>
      <c r="O7" s="234"/>
      <c r="P7" s="234"/>
      <c r="Q7" s="234"/>
      <c r="R7" s="241"/>
      <c r="S7" s="241"/>
      <c r="T7" s="241"/>
      <c r="U7" s="242"/>
      <c r="V7" s="234"/>
      <c r="W7" s="234"/>
      <c r="X7" s="234"/>
      <c r="Y7" s="234"/>
      <c r="AA7" s="234"/>
      <c r="AB7" s="234"/>
      <c r="AC7" s="234"/>
      <c r="AD7" s="241"/>
      <c r="AE7" s="241"/>
      <c r="AF7" s="241"/>
      <c r="AG7" s="241"/>
      <c r="AH7" s="234"/>
      <c r="AI7" s="234"/>
      <c r="AJ7" s="243"/>
      <c r="AQ7" s="222" t="e">
        <f>AQ6</f>
        <v>#N/A</v>
      </c>
      <c r="AR7" s="255">
        <f>AR6</f>
        <v>447.60696411132812</v>
      </c>
      <c r="AS7" s="255">
        <f>AS6</f>
        <v>1151.9999694824219</v>
      </c>
      <c r="AT7" s="255">
        <f>-AT6</f>
        <v>-15</v>
      </c>
      <c r="AU7" s="221"/>
      <c r="AV7" s="246">
        <f>AV6</f>
        <v>604.60696411132812</v>
      </c>
      <c r="AW7" s="221"/>
      <c r="AX7" s="247" t="s">
        <v>44</v>
      </c>
      <c r="BD7" s="256">
        <f>AS1/(BD6)</f>
        <v>119.99999642372143</v>
      </c>
      <c r="BF7" s="230">
        <f>AS6/BD6</f>
        <v>107.99999392032642</v>
      </c>
      <c r="CF7" s="257"/>
      <c r="CG7" s="252"/>
    </row>
    <row r="8" spans="1:85" s="263" customFormat="1" ht="18" customHeight="1" thickBot="1" x14ac:dyDescent="0.25">
      <c r="A8" s="258" t="s">
        <v>1</v>
      </c>
      <c r="B8" s="259" t="s">
        <v>3</v>
      </c>
      <c r="C8" s="259" t="s">
        <v>3</v>
      </c>
      <c r="D8" s="260" t="s">
        <v>3</v>
      </c>
      <c r="E8" s="259" t="s">
        <v>4</v>
      </c>
      <c r="F8" s="260" t="s">
        <v>3</v>
      </c>
      <c r="G8" s="259" t="s">
        <v>5</v>
      </c>
      <c r="H8" s="260" t="s">
        <v>5</v>
      </c>
      <c r="I8" s="259" t="s">
        <v>5</v>
      </c>
      <c r="J8" s="260" t="s">
        <v>5</v>
      </c>
      <c r="K8" s="261" t="s">
        <v>10</v>
      </c>
      <c r="L8" s="261" t="s">
        <v>10</v>
      </c>
      <c r="M8" s="261" t="s">
        <v>11</v>
      </c>
      <c r="N8" s="240"/>
      <c r="O8" s="262"/>
      <c r="R8" s="264"/>
      <c r="S8" s="264"/>
      <c r="T8" s="264"/>
      <c r="U8" s="242"/>
      <c r="V8" s="262"/>
      <c r="AA8" s="262"/>
      <c r="AD8" s="264"/>
      <c r="AE8" s="264"/>
      <c r="AF8" s="264"/>
      <c r="AG8" s="264"/>
      <c r="AH8" s="262"/>
      <c r="AJ8" s="243"/>
      <c r="AQ8" s="265"/>
      <c r="AR8" s="265"/>
      <c r="AS8" s="265"/>
      <c r="AT8" s="265"/>
      <c r="AU8" s="265"/>
      <c r="AV8" s="265"/>
      <c r="AW8" s="265"/>
      <c r="AX8" s="266" t="s">
        <v>42</v>
      </c>
      <c r="CF8" s="267" t="s">
        <v>5</v>
      </c>
      <c r="CG8" s="260" t="s">
        <v>5</v>
      </c>
    </row>
    <row r="9" spans="1:85" s="263" customFormat="1" ht="18" customHeight="1" x14ac:dyDescent="0.2">
      <c r="A9" s="268">
        <v>-8</v>
      </c>
      <c r="B9" s="269">
        <v>440</v>
      </c>
      <c r="C9" s="270">
        <v>298.51299999999998</v>
      </c>
      <c r="D9" s="271">
        <v>308.5428</v>
      </c>
      <c r="E9" s="272">
        <v>134.21799999999999</v>
      </c>
      <c r="F9" s="273">
        <v>41.795999999999999</v>
      </c>
      <c r="G9" s="272">
        <v>-6.5</v>
      </c>
      <c r="H9" s="273">
        <v>-6.71</v>
      </c>
      <c r="I9" s="274">
        <v>-0.49</v>
      </c>
      <c r="J9" s="275">
        <v>-5.61</v>
      </c>
      <c r="K9" s="275">
        <v>3.2650000000000001</v>
      </c>
      <c r="L9" s="275">
        <v>7.913978494623656</v>
      </c>
      <c r="M9" s="275">
        <v>-14.600000190734864</v>
      </c>
      <c r="N9" s="240"/>
      <c r="O9" s="262"/>
      <c r="R9" s="276"/>
      <c r="S9" s="277"/>
      <c r="T9" s="277"/>
      <c r="U9" s="242"/>
      <c r="V9" s="262"/>
      <c r="AA9" s="262"/>
      <c r="AD9" s="276"/>
      <c r="AE9" s="277"/>
      <c r="AF9" s="277"/>
      <c r="AG9" s="277"/>
      <c r="AH9" s="262"/>
      <c r="AJ9" s="243"/>
      <c r="AQ9" s="265" t="s">
        <v>29</v>
      </c>
      <c r="AR9" s="265"/>
      <c r="AS9" s="265"/>
      <c r="AT9" s="265"/>
      <c r="AU9" s="265"/>
      <c r="AV9" s="265"/>
      <c r="AW9" s="265"/>
      <c r="BD9" s="263">
        <f>AR6/(BD6-AW6)</f>
        <v>46.304167178444459</v>
      </c>
      <c r="CF9" s="278">
        <v>-5.6000000000000005</v>
      </c>
      <c r="CG9" s="275">
        <v>4.62</v>
      </c>
    </row>
    <row r="10" spans="1:85" s="263" customFormat="1" ht="18" customHeight="1" x14ac:dyDescent="0.2">
      <c r="A10" s="279"/>
      <c r="B10" s="280">
        <v>545</v>
      </c>
      <c r="C10" s="281">
        <v>403.51299999999998</v>
      </c>
      <c r="D10" s="282">
        <v>413.5428</v>
      </c>
      <c r="E10" s="283">
        <v>125.18499999999999</v>
      </c>
      <c r="F10" s="284">
        <v>51.368000000000002</v>
      </c>
      <c r="G10" s="283">
        <v>-6</v>
      </c>
      <c r="H10" s="284">
        <v>-6.26</v>
      </c>
      <c r="I10" s="285">
        <v>-1.19</v>
      </c>
      <c r="J10" s="286">
        <v>-6.42</v>
      </c>
      <c r="K10" s="286">
        <v>4.0309999999999997</v>
      </c>
      <c r="L10" s="286">
        <v>7.8129032258064504</v>
      </c>
      <c r="M10" s="286">
        <v>-14.130000190734863</v>
      </c>
      <c r="N10" s="240"/>
      <c r="O10" s="262"/>
      <c r="R10" s="276"/>
      <c r="S10" s="277"/>
      <c r="T10" s="277"/>
      <c r="U10" s="242"/>
      <c r="V10" s="262"/>
      <c r="AA10" s="262"/>
      <c r="AD10" s="276"/>
      <c r="AE10" s="277"/>
      <c r="AF10" s="277"/>
      <c r="AG10" s="277"/>
      <c r="AH10" s="262"/>
      <c r="AJ10" s="243"/>
      <c r="AQ10" s="265"/>
      <c r="AR10" s="265"/>
      <c r="AS10" s="265" t="s">
        <v>32</v>
      </c>
      <c r="AT10" s="265"/>
      <c r="AU10" s="265" t="s">
        <v>33</v>
      </c>
      <c r="AV10" s="265"/>
      <c r="AW10" s="265"/>
      <c r="CF10" s="287">
        <v>-6.42</v>
      </c>
      <c r="CG10" s="286">
        <v>4.0400000000000009</v>
      </c>
    </row>
    <row r="11" spans="1:85" s="263" customFormat="1" ht="18" customHeight="1" x14ac:dyDescent="0.2">
      <c r="A11" s="279"/>
      <c r="B11" s="280">
        <v>650</v>
      </c>
      <c r="C11" s="281">
        <v>508.51299999999998</v>
      </c>
      <c r="D11" s="282">
        <v>518.54279999999994</v>
      </c>
      <c r="E11" s="283">
        <v>119.637</v>
      </c>
      <c r="F11" s="284">
        <v>60.99</v>
      </c>
      <c r="G11" s="283">
        <v>-5.68</v>
      </c>
      <c r="H11" s="284">
        <v>-5.98</v>
      </c>
      <c r="I11" s="285">
        <v>-1.68</v>
      </c>
      <c r="J11" s="286">
        <v>-6.99</v>
      </c>
      <c r="K11" s="286">
        <v>4.7759999999999998</v>
      </c>
      <c r="L11" s="286">
        <v>7.7010752688172044</v>
      </c>
      <c r="M11" s="286">
        <v>-13.830000190734863</v>
      </c>
      <c r="N11" s="240"/>
      <c r="O11" s="262"/>
      <c r="R11" s="276"/>
      <c r="S11" s="277"/>
      <c r="T11" s="277"/>
      <c r="U11" s="242"/>
      <c r="V11" s="262"/>
      <c r="AA11" s="262"/>
      <c r="AD11" s="276"/>
      <c r="AE11" s="277"/>
      <c r="AF11" s="277"/>
      <c r="AG11" s="277"/>
      <c r="AH11" s="262"/>
      <c r="AJ11" s="243"/>
      <c r="AQ11" s="265"/>
      <c r="AR11" s="288">
        <f>AR6+(AS6-AR6)*0.45</f>
        <v>764.58381652832031</v>
      </c>
      <c r="AS11" s="289">
        <v>-10</v>
      </c>
      <c r="AT11" s="265" t="s">
        <v>30</v>
      </c>
      <c r="AU11" s="288">
        <f>AR6+(AS6-AR6)*0.55</f>
        <v>835.02311706542969</v>
      </c>
      <c r="AV11" s="290">
        <v>-10</v>
      </c>
      <c r="AW11" s="265"/>
      <c r="CF11" s="287">
        <v>-6.9899999999999993</v>
      </c>
      <c r="CG11" s="286">
        <v>3.63</v>
      </c>
    </row>
    <row r="12" spans="1:85" s="263" customFormat="1" ht="18" customHeight="1" x14ac:dyDescent="0.2">
      <c r="A12" s="279"/>
      <c r="B12" s="280">
        <v>755</v>
      </c>
      <c r="C12" s="281">
        <v>613.51300000000003</v>
      </c>
      <c r="D12" s="282">
        <v>623.54279999999994</v>
      </c>
      <c r="E12" s="283">
        <v>115.874</v>
      </c>
      <c r="F12" s="284">
        <v>70.664000000000001</v>
      </c>
      <c r="G12" s="283">
        <v>-5.46</v>
      </c>
      <c r="H12" s="284">
        <v>-5.79</v>
      </c>
      <c r="I12" s="285">
        <v>-2.0299999999999998</v>
      </c>
      <c r="J12" s="286">
        <v>-7.41</v>
      </c>
      <c r="K12" s="286">
        <v>5.508</v>
      </c>
      <c r="L12" s="286">
        <v>7.5806451612903221</v>
      </c>
      <c r="M12" s="286">
        <v>-13.590000190734862</v>
      </c>
      <c r="N12" s="240"/>
      <c r="O12" s="262"/>
      <c r="R12" s="276"/>
      <c r="S12" s="277"/>
      <c r="T12" s="277"/>
      <c r="U12" s="242"/>
      <c r="V12" s="262"/>
      <c r="AA12" s="262"/>
      <c r="AD12" s="276"/>
      <c r="AE12" s="277"/>
      <c r="AF12" s="277"/>
      <c r="AG12" s="277"/>
      <c r="AH12" s="262"/>
      <c r="AJ12" s="243"/>
      <c r="AQ12" s="265"/>
      <c r="AR12" s="288">
        <f>AR11</f>
        <v>764.58381652832031</v>
      </c>
      <c r="AS12" s="289">
        <v>-10</v>
      </c>
      <c r="AT12" s="265" t="s">
        <v>31</v>
      </c>
      <c r="AU12" s="288">
        <f>AU11</f>
        <v>835.02311706542969</v>
      </c>
      <c r="AV12" s="290">
        <v>-10</v>
      </c>
      <c r="AW12" s="265"/>
      <c r="CF12" s="287">
        <v>-7.41</v>
      </c>
      <c r="CG12" s="286">
        <v>3.35</v>
      </c>
    </row>
    <row r="13" spans="1:85" s="263" customFormat="1" ht="18" customHeight="1" x14ac:dyDescent="0.2">
      <c r="A13" s="279"/>
      <c r="B13" s="280">
        <v>860</v>
      </c>
      <c r="C13" s="281">
        <v>718.51300000000003</v>
      </c>
      <c r="D13" s="282">
        <v>728.54280000000006</v>
      </c>
      <c r="E13" s="283">
        <v>113.148</v>
      </c>
      <c r="F13" s="284">
        <v>80.394000000000005</v>
      </c>
      <c r="G13" s="283">
        <v>-5.29</v>
      </c>
      <c r="H13" s="284">
        <v>-5.66</v>
      </c>
      <c r="I13" s="285">
        <v>-2.2999999999999998</v>
      </c>
      <c r="J13" s="286">
        <v>-7.72</v>
      </c>
      <c r="K13" s="286">
        <v>6.2320000000000002</v>
      </c>
      <c r="L13" s="286">
        <v>7.4505376344086018</v>
      </c>
      <c r="M13" s="286">
        <v>-13.390000190734863</v>
      </c>
      <c r="N13" s="240"/>
      <c r="O13" s="262"/>
      <c r="R13" s="276"/>
      <c r="S13" s="277"/>
      <c r="T13" s="277"/>
      <c r="U13" s="242"/>
      <c r="V13" s="262"/>
      <c r="AA13" s="262"/>
      <c r="AD13" s="276"/>
      <c r="AE13" s="277"/>
      <c r="AF13" s="277"/>
      <c r="AG13" s="277"/>
      <c r="AH13" s="262"/>
      <c r="AJ13" s="243"/>
      <c r="AQ13" s="265"/>
      <c r="AR13" s="265"/>
      <c r="AS13" s="265"/>
      <c r="AT13" s="265"/>
      <c r="AU13" s="265"/>
      <c r="AV13" s="265"/>
      <c r="AW13" s="265"/>
      <c r="CF13" s="287">
        <v>-7.7299999999999995</v>
      </c>
      <c r="CG13" s="286">
        <v>3.13</v>
      </c>
    </row>
    <row r="14" spans="1:85" s="263" customFormat="1" ht="18" customHeight="1" x14ac:dyDescent="0.2">
      <c r="A14" s="279"/>
      <c r="B14" s="280">
        <v>965</v>
      </c>
      <c r="C14" s="281">
        <v>823.51300000000003</v>
      </c>
      <c r="D14" s="282">
        <v>833.54280000000006</v>
      </c>
      <c r="E14" s="283">
        <v>111.07</v>
      </c>
      <c r="F14" s="284">
        <v>90.177999999999997</v>
      </c>
      <c r="G14" s="283">
        <v>-5.16</v>
      </c>
      <c r="H14" s="284">
        <v>-5.55</v>
      </c>
      <c r="I14" s="285">
        <v>-2.5099999999999998</v>
      </c>
      <c r="J14" s="286">
        <v>-7.97</v>
      </c>
      <c r="K14" s="286">
        <v>6.9489999999999998</v>
      </c>
      <c r="L14" s="286">
        <v>7.3096774193548377</v>
      </c>
      <c r="M14" s="286">
        <v>-13.200000190734864</v>
      </c>
      <c r="N14" s="240"/>
      <c r="O14" s="262"/>
      <c r="R14" s="276"/>
      <c r="S14" s="277"/>
      <c r="T14" s="277"/>
      <c r="U14" s="242"/>
      <c r="V14" s="262"/>
      <c r="AA14" s="262"/>
      <c r="AD14" s="276"/>
      <c r="AE14" s="277"/>
      <c r="AF14" s="277"/>
      <c r="AG14" s="277"/>
      <c r="AH14" s="262"/>
      <c r="AJ14" s="243"/>
      <c r="AR14" s="265"/>
      <c r="AS14" s="265"/>
      <c r="AT14" s="265"/>
      <c r="AU14" s="265"/>
      <c r="AV14" s="265"/>
      <c r="AW14" s="265"/>
      <c r="CF14" s="287">
        <v>-7.97</v>
      </c>
      <c r="CG14" s="286">
        <v>2.95</v>
      </c>
    </row>
    <row r="15" spans="1:85" s="263" customFormat="1" ht="18" customHeight="1" x14ac:dyDescent="0.2">
      <c r="A15" s="279"/>
      <c r="B15" s="280">
        <v>1070</v>
      </c>
      <c r="C15" s="281">
        <v>928.51300000000003</v>
      </c>
      <c r="D15" s="282">
        <v>938.54280000000006</v>
      </c>
      <c r="E15" s="283">
        <v>109.41500000000001</v>
      </c>
      <c r="F15" s="284">
        <v>100</v>
      </c>
      <c r="G15" s="283">
        <v>-5.0599999999999996</v>
      </c>
      <c r="H15" s="284">
        <v>-5.47</v>
      </c>
      <c r="I15" s="285">
        <v>-2.68</v>
      </c>
      <c r="J15" s="286">
        <v>-8.16</v>
      </c>
      <c r="K15" s="286">
        <v>7.6609999999999996</v>
      </c>
      <c r="L15" s="286">
        <v>7.1634408602150534</v>
      </c>
      <c r="M15" s="286">
        <v>-13.030000190734864</v>
      </c>
      <c r="N15" s="240"/>
      <c r="O15" s="262"/>
      <c r="R15" s="276"/>
      <c r="S15" s="277"/>
      <c r="T15" s="277"/>
      <c r="U15" s="242"/>
      <c r="V15" s="262"/>
      <c r="AA15" s="262"/>
      <c r="AD15" s="276"/>
      <c r="AE15" s="277"/>
      <c r="AF15" s="277"/>
      <c r="AG15" s="277"/>
      <c r="AH15" s="262"/>
      <c r="AJ15" s="243"/>
      <c r="CF15" s="287">
        <v>-8.15</v>
      </c>
      <c r="CG15" s="286">
        <v>2.7899999999999996</v>
      </c>
    </row>
    <row r="16" spans="1:85" s="263" customFormat="1" ht="18" customHeight="1" x14ac:dyDescent="0.2">
      <c r="A16" s="279"/>
      <c r="B16" s="280">
        <v>1175</v>
      </c>
      <c r="C16" s="281">
        <v>1033.5129999999999</v>
      </c>
      <c r="D16" s="282">
        <v>1043.5429999999999</v>
      </c>
      <c r="E16" s="283">
        <v>108.042</v>
      </c>
      <c r="F16" s="284">
        <v>109.86</v>
      </c>
      <c r="G16" s="283">
        <v>-4.97</v>
      </c>
      <c r="H16" s="284">
        <v>-5.4</v>
      </c>
      <c r="I16" s="285">
        <v>-2.83</v>
      </c>
      <c r="J16" s="286">
        <v>-8.3000000000000007</v>
      </c>
      <c r="K16" s="286">
        <v>8.3699999999999992</v>
      </c>
      <c r="L16" s="286">
        <v>7.0139784946236556</v>
      </c>
      <c r="M16" s="286">
        <v>-12.870000190734864</v>
      </c>
      <c r="N16" s="240"/>
      <c r="O16" s="262"/>
      <c r="R16" s="276"/>
      <c r="S16" s="277"/>
      <c r="T16" s="277"/>
      <c r="U16" s="242"/>
      <c r="V16" s="262"/>
      <c r="AA16" s="262"/>
      <c r="AD16" s="276"/>
      <c r="AE16" s="277"/>
      <c r="AF16" s="277"/>
      <c r="AG16" s="277"/>
      <c r="AH16" s="262"/>
      <c r="AJ16" s="243"/>
      <c r="CF16" s="287">
        <v>-8.31</v>
      </c>
      <c r="CG16" s="286">
        <v>2.6500000000000004</v>
      </c>
    </row>
    <row r="17" spans="1:85" s="263" customFormat="1" ht="18" customHeight="1" thickBot="1" x14ac:dyDescent="0.25">
      <c r="A17" s="291"/>
      <c r="B17" s="292">
        <v>1280</v>
      </c>
      <c r="C17" s="293">
        <v>1138.5129999999999</v>
      </c>
      <c r="D17" s="294">
        <v>1148.5429999999999</v>
      </c>
      <c r="E17" s="295">
        <v>106.85899999999999</v>
      </c>
      <c r="F17" s="296">
        <v>119.73</v>
      </c>
      <c r="G17" s="295">
        <v>-4.8899999999999997</v>
      </c>
      <c r="H17" s="296">
        <v>-5.34</v>
      </c>
      <c r="I17" s="297">
        <v>-2.95</v>
      </c>
      <c r="J17" s="298">
        <v>-8.42</v>
      </c>
      <c r="K17" s="298">
        <v>9.077</v>
      </c>
      <c r="L17" s="298">
        <v>6.8634408602150536</v>
      </c>
      <c r="M17" s="298">
        <v>-12.720000190734863</v>
      </c>
      <c r="N17" s="240"/>
      <c r="O17" s="262"/>
      <c r="R17" s="276"/>
      <c r="S17" s="277"/>
      <c r="T17" s="277"/>
      <c r="U17" s="242"/>
      <c r="V17" s="262"/>
      <c r="AA17" s="262"/>
      <c r="AD17" s="276"/>
      <c r="AE17" s="277"/>
      <c r="AF17" s="277"/>
      <c r="AG17" s="277"/>
      <c r="AH17" s="262"/>
      <c r="AJ17" s="243"/>
      <c r="CF17" s="299">
        <v>-8.42</v>
      </c>
      <c r="CG17" s="298">
        <v>2.5199999999999996</v>
      </c>
    </row>
    <row r="18" spans="1:85" s="263" customFormat="1" ht="18" customHeight="1" x14ac:dyDescent="0.2">
      <c r="A18" s="268">
        <v>-6</v>
      </c>
      <c r="B18" s="269">
        <v>440</v>
      </c>
      <c r="C18" s="270">
        <v>298.51299999999998</v>
      </c>
      <c r="D18" s="271">
        <v>308.5428</v>
      </c>
      <c r="E18" s="272">
        <v>111.178</v>
      </c>
      <c r="F18" s="273">
        <v>34.661000000000001</v>
      </c>
      <c r="G18" s="272">
        <v>-5.34</v>
      </c>
      <c r="H18" s="273">
        <v>-5.56</v>
      </c>
      <c r="I18" s="274">
        <v>0.34</v>
      </c>
      <c r="J18" s="275">
        <v>5.45</v>
      </c>
      <c r="K18" s="275">
        <v>3.2519999999999998</v>
      </c>
      <c r="L18" s="275">
        <v>7.913978494623656</v>
      </c>
      <c r="M18" s="275">
        <v>-13.200000190734864</v>
      </c>
      <c r="N18" s="240"/>
      <c r="O18" s="262"/>
      <c r="R18" s="276"/>
      <c r="S18" s="277"/>
      <c r="T18" s="277"/>
      <c r="U18" s="242"/>
      <c r="V18" s="262"/>
      <c r="AA18" s="262"/>
      <c r="AD18" s="276"/>
      <c r="AE18" s="277"/>
      <c r="AF18" s="277"/>
      <c r="AG18" s="277"/>
      <c r="AH18" s="262"/>
      <c r="AJ18" s="243"/>
      <c r="CF18" s="278">
        <v>-4.7700000000000005</v>
      </c>
      <c r="CG18" s="275">
        <v>5.45</v>
      </c>
    </row>
    <row r="19" spans="1:85" s="263" customFormat="1" ht="18" customHeight="1" x14ac:dyDescent="0.2">
      <c r="A19" s="279"/>
      <c r="B19" s="280">
        <v>545</v>
      </c>
      <c r="C19" s="281">
        <v>403.51299999999998</v>
      </c>
      <c r="D19" s="282">
        <v>413.5428</v>
      </c>
      <c r="E19" s="283">
        <v>102.47799999999999</v>
      </c>
      <c r="F19" s="284">
        <v>42.084000000000003</v>
      </c>
      <c r="G19" s="283">
        <v>-4.8600000000000003</v>
      </c>
      <c r="H19" s="284">
        <v>-5.12</v>
      </c>
      <c r="I19" s="285">
        <v>-0.32</v>
      </c>
      <c r="J19" s="286">
        <v>-5.55</v>
      </c>
      <c r="K19" s="286">
        <v>3.9569999999999999</v>
      </c>
      <c r="L19" s="286">
        <v>7.8129032258064504</v>
      </c>
      <c r="M19" s="286">
        <v>-12.760000190734864</v>
      </c>
      <c r="N19" s="240"/>
      <c r="O19" s="262"/>
      <c r="R19" s="276"/>
      <c r="S19" s="277"/>
      <c r="T19" s="277"/>
      <c r="U19" s="242"/>
      <c r="V19" s="262"/>
      <c r="AA19" s="262"/>
      <c r="AD19" s="276"/>
      <c r="AE19" s="277"/>
      <c r="AF19" s="277"/>
      <c r="AG19" s="277"/>
      <c r="AH19" s="262"/>
      <c r="AJ19" s="243"/>
      <c r="CF19" s="287">
        <v>-5.5500000000000007</v>
      </c>
      <c r="CG19" s="286">
        <v>4.91</v>
      </c>
    </row>
    <row r="20" spans="1:85" s="263" customFormat="1" ht="18" customHeight="1" x14ac:dyDescent="0.2">
      <c r="A20" s="279"/>
      <c r="B20" s="280">
        <v>650</v>
      </c>
      <c r="C20" s="281">
        <v>508.51299999999998</v>
      </c>
      <c r="D20" s="282">
        <v>518.54279999999994</v>
      </c>
      <c r="E20" s="283">
        <v>97.16040000000001</v>
      </c>
      <c r="F20" s="284">
        <v>49.561</v>
      </c>
      <c r="G20" s="283">
        <v>-4.5599999999999996</v>
      </c>
      <c r="H20" s="284">
        <v>-4.8600000000000003</v>
      </c>
      <c r="I20" s="285">
        <v>-0.77</v>
      </c>
      <c r="J20" s="286">
        <v>-6.09</v>
      </c>
      <c r="K20" s="286">
        <v>4.6989999999999998</v>
      </c>
      <c r="L20" s="286">
        <v>7.7010752688172044</v>
      </c>
      <c r="M20" s="286">
        <v>-12.460000190734863</v>
      </c>
      <c r="N20" s="240"/>
      <c r="O20" s="262"/>
      <c r="R20" s="276"/>
      <c r="S20" s="277"/>
      <c r="T20" s="277"/>
      <c r="U20" s="242"/>
      <c r="V20" s="262"/>
      <c r="AA20" s="262"/>
      <c r="AD20" s="276"/>
      <c r="AE20" s="277"/>
      <c r="AF20" s="277"/>
      <c r="AG20" s="277"/>
      <c r="AH20" s="262"/>
      <c r="AJ20" s="243"/>
      <c r="CF20" s="287">
        <v>-6.08</v>
      </c>
      <c r="CG20" s="286">
        <v>4.5399999999999991</v>
      </c>
    </row>
    <row r="21" spans="1:85" s="263" customFormat="1" ht="18" customHeight="1" x14ac:dyDescent="0.2">
      <c r="A21" s="279"/>
      <c r="B21" s="280">
        <v>755</v>
      </c>
      <c r="C21" s="281">
        <v>613.51300000000003</v>
      </c>
      <c r="D21" s="282">
        <v>623.54279999999994</v>
      </c>
      <c r="E21" s="283">
        <v>93.577600000000004</v>
      </c>
      <c r="F21" s="284">
        <v>57.093000000000011</v>
      </c>
      <c r="G21" s="283">
        <v>-4.34</v>
      </c>
      <c r="H21" s="284">
        <v>-4.68</v>
      </c>
      <c r="I21" s="285">
        <v>-1.1000000000000001</v>
      </c>
      <c r="J21" s="286">
        <v>-6.48</v>
      </c>
      <c r="K21" s="286">
        <v>5.4290000000000003</v>
      </c>
      <c r="L21" s="286">
        <v>7.5806451612903221</v>
      </c>
      <c r="M21" s="286">
        <v>-12.230000190734863</v>
      </c>
      <c r="N21" s="240"/>
      <c r="O21" s="234"/>
      <c r="P21" s="234"/>
      <c r="Q21" s="234"/>
      <c r="R21" s="241"/>
      <c r="S21" s="241"/>
      <c r="T21" s="241"/>
      <c r="U21" s="242"/>
      <c r="V21" s="234"/>
      <c r="W21" s="234"/>
      <c r="X21" s="234"/>
      <c r="AA21" s="234"/>
      <c r="AB21" s="234"/>
      <c r="AC21" s="234"/>
      <c r="AD21" s="241"/>
      <c r="AE21" s="241"/>
      <c r="AF21" s="241"/>
      <c r="AG21" s="241"/>
      <c r="AH21" s="234"/>
      <c r="AI21" s="234"/>
      <c r="AJ21" s="243"/>
      <c r="CF21" s="287">
        <v>-6.48</v>
      </c>
      <c r="CG21" s="286">
        <v>4.2799999999999994</v>
      </c>
    </row>
    <row r="22" spans="1:85" s="263" customFormat="1" ht="18" customHeight="1" x14ac:dyDescent="0.2">
      <c r="A22" s="279"/>
      <c r="B22" s="280">
        <v>860</v>
      </c>
      <c r="C22" s="281">
        <v>718.51300000000003</v>
      </c>
      <c r="D22" s="282">
        <v>728.54280000000006</v>
      </c>
      <c r="E22" s="283">
        <v>91.003</v>
      </c>
      <c r="F22" s="284">
        <v>64.683999999999997</v>
      </c>
      <c r="G22" s="283">
        <v>-4.18</v>
      </c>
      <c r="H22" s="284">
        <v>-4.55</v>
      </c>
      <c r="I22" s="285">
        <v>-1.35</v>
      </c>
      <c r="J22" s="286">
        <v>-6.78</v>
      </c>
      <c r="K22" s="286">
        <v>6.1509999999999998</v>
      </c>
      <c r="L22" s="286">
        <v>7.4505376344086018</v>
      </c>
      <c r="M22" s="286">
        <v>-12.030000190734864</v>
      </c>
      <c r="N22" s="240"/>
      <c r="O22" s="234"/>
      <c r="P22" s="234"/>
      <c r="Q22" s="234"/>
      <c r="R22" s="241"/>
      <c r="S22" s="241"/>
      <c r="T22" s="241"/>
      <c r="U22" s="242"/>
      <c r="V22" s="234"/>
      <c r="W22" s="234"/>
      <c r="X22" s="234"/>
      <c r="AA22" s="234"/>
      <c r="AB22" s="234"/>
      <c r="AC22" s="234"/>
      <c r="AD22" s="241"/>
      <c r="AE22" s="241"/>
      <c r="AF22" s="241"/>
      <c r="AG22" s="241"/>
      <c r="AH22" s="234"/>
      <c r="AI22" s="234"/>
      <c r="AJ22" s="243"/>
      <c r="CF22" s="287">
        <v>-6.7799999999999994</v>
      </c>
      <c r="CG22" s="286">
        <v>4.08</v>
      </c>
    </row>
    <row r="23" spans="1:85" s="263" customFormat="1" ht="18" customHeight="1" x14ac:dyDescent="0.2">
      <c r="A23" s="279"/>
      <c r="B23" s="280">
        <v>965</v>
      </c>
      <c r="C23" s="281">
        <v>823.51300000000003</v>
      </c>
      <c r="D23" s="282">
        <v>833.54280000000006</v>
      </c>
      <c r="E23" s="283">
        <v>89.058700000000002</v>
      </c>
      <c r="F23" s="284">
        <v>72.328999999999994</v>
      </c>
      <c r="G23" s="283">
        <v>-4.0599999999999996</v>
      </c>
      <c r="H23" s="284">
        <v>-4.45</v>
      </c>
      <c r="I23" s="285">
        <v>-1.55</v>
      </c>
      <c r="J23" s="286">
        <v>-7.01</v>
      </c>
      <c r="K23" s="286">
        <v>6.867</v>
      </c>
      <c r="L23" s="286">
        <v>7.3096774193548377</v>
      </c>
      <c r="M23" s="286">
        <v>-11.850000190734864</v>
      </c>
      <c r="N23" s="240"/>
      <c r="O23" s="234"/>
      <c r="P23" s="234"/>
      <c r="Q23" s="234"/>
      <c r="R23" s="241"/>
      <c r="S23" s="241"/>
      <c r="T23" s="241"/>
      <c r="U23" s="242"/>
      <c r="V23" s="234"/>
      <c r="W23" s="234"/>
      <c r="X23" s="234"/>
      <c r="AA23" s="234"/>
      <c r="AB23" s="234"/>
      <c r="AC23" s="234"/>
      <c r="AD23" s="241"/>
      <c r="AE23" s="241"/>
      <c r="AF23" s="241"/>
      <c r="AG23" s="241"/>
      <c r="AH23" s="234"/>
      <c r="AI23" s="234"/>
      <c r="AJ23" s="243"/>
      <c r="CF23" s="287">
        <v>-7.01</v>
      </c>
      <c r="CG23" s="286">
        <v>3.91</v>
      </c>
    </row>
    <row r="24" spans="1:85" s="263" customFormat="1" ht="18" customHeight="1" x14ac:dyDescent="0.2">
      <c r="A24" s="279"/>
      <c r="B24" s="280">
        <v>1070</v>
      </c>
      <c r="C24" s="281">
        <v>928.51300000000003</v>
      </c>
      <c r="D24" s="282">
        <v>938.54280000000006</v>
      </c>
      <c r="E24" s="283">
        <v>87.525199999999998</v>
      </c>
      <c r="F24" s="284">
        <v>80.018000000000001</v>
      </c>
      <c r="G24" s="283">
        <v>-3.96</v>
      </c>
      <c r="H24" s="284">
        <v>-4.38</v>
      </c>
      <c r="I24" s="285">
        <v>-1.71</v>
      </c>
      <c r="J24" s="286">
        <v>-7.18</v>
      </c>
      <c r="K24" s="286">
        <v>7.5780000000000003</v>
      </c>
      <c r="L24" s="286">
        <v>7.1634408602150534</v>
      </c>
      <c r="M24" s="286">
        <v>-11.680000190734864</v>
      </c>
      <c r="N24" s="240"/>
      <c r="O24" s="262"/>
      <c r="R24" s="264"/>
      <c r="S24" s="264"/>
      <c r="T24" s="264"/>
      <c r="U24" s="242"/>
      <c r="V24" s="262"/>
      <c r="AA24" s="262"/>
      <c r="AD24" s="264"/>
      <c r="AE24" s="264"/>
      <c r="AF24" s="264"/>
      <c r="AG24" s="264"/>
      <c r="AH24" s="262"/>
      <c r="AJ24" s="243"/>
      <c r="CF24" s="287">
        <v>-7.18</v>
      </c>
      <c r="CG24" s="286">
        <v>3.76</v>
      </c>
    </row>
    <row r="25" spans="1:85" s="263" customFormat="1" ht="18" customHeight="1" x14ac:dyDescent="0.2">
      <c r="A25" s="279"/>
      <c r="B25" s="280">
        <v>1175</v>
      </c>
      <c r="C25" s="281">
        <v>1033.5129999999999</v>
      </c>
      <c r="D25" s="282">
        <v>1043.5429999999999</v>
      </c>
      <c r="E25" s="283">
        <v>86.265599999999992</v>
      </c>
      <c r="F25" s="284">
        <v>87.736000000000004</v>
      </c>
      <c r="G25" s="283">
        <v>-3.88</v>
      </c>
      <c r="H25" s="284">
        <v>-4.3099999999999996</v>
      </c>
      <c r="I25" s="285">
        <v>-1.84</v>
      </c>
      <c r="J25" s="286">
        <v>-7.32</v>
      </c>
      <c r="K25" s="286">
        <v>8.2859999999999996</v>
      </c>
      <c r="L25" s="286">
        <v>7.0139784946236556</v>
      </c>
      <c r="M25" s="286">
        <v>-11.520000190734864</v>
      </c>
      <c r="N25" s="240"/>
      <c r="O25" s="262"/>
      <c r="R25" s="276"/>
      <c r="S25" s="277"/>
      <c r="T25" s="277"/>
      <c r="U25" s="242"/>
      <c r="V25" s="262"/>
      <c r="AA25" s="262"/>
      <c r="AD25" s="276"/>
      <c r="AE25" s="277"/>
      <c r="AF25" s="277"/>
      <c r="AG25" s="277"/>
      <c r="AH25" s="262"/>
      <c r="AJ25" s="243"/>
      <c r="CF25" s="287">
        <v>-7.32</v>
      </c>
      <c r="CG25" s="286">
        <v>3.6400000000000006</v>
      </c>
    </row>
    <row r="26" spans="1:85" s="263" customFormat="1" ht="18" customHeight="1" thickBot="1" x14ac:dyDescent="0.25">
      <c r="A26" s="300"/>
      <c r="B26" s="292">
        <v>1280</v>
      </c>
      <c r="C26" s="293">
        <v>1138.5129999999999</v>
      </c>
      <c r="D26" s="294">
        <v>1148.5429999999999</v>
      </c>
      <c r="E26" s="295">
        <v>85.191600000000008</v>
      </c>
      <c r="F26" s="296">
        <v>95.468000000000004</v>
      </c>
      <c r="G26" s="295">
        <v>-3.81</v>
      </c>
      <c r="H26" s="296">
        <v>-4.26</v>
      </c>
      <c r="I26" s="292">
        <v>-1.96</v>
      </c>
      <c r="J26" s="301">
        <v>-7.43</v>
      </c>
      <c r="K26" s="298">
        <v>8.9920000000000009</v>
      </c>
      <c r="L26" s="298">
        <v>6.8634408602150536</v>
      </c>
      <c r="M26" s="298">
        <v>-11.360000190734864</v>
      </c>
      <c r="N26" s="240"/>
      <c r="O26" s="262"/>
      <c r="R26" s="276"/>
      <c r="S26" s="277"/>
      <c r="T26" s="277"/>
      <c r="U26" s="242"/>
      <c r="V26" s="262"/>
      <c r="AA26" s="262"/>
      <c r="AD26" s="276"/>
      <c r="AE26" s="277"/>
      <c r="AF26" s="277"/>
      <c r="AG26" s="277"/>
      <c r="AH26" s="262"/>
      <c r="AJ26" s="243"/>
      <c r="CF26" s="302">
        <v>-7.43</v>
      </c>
      <c r="CG26" s="301">
        <v>3.51</v>
      </c>
    </row>
    <row r="27" spans="1:85" s="263" customFormat="1" ht="18" customHeight="1" x14ac:dyDescent="0.2">
      <c r="A27" s="268">
        <v>-4</v>
      </c>
      <c r="B27" s="269">
        <v>440</v>
      </c>
      <c r="C27" s="270">
        <v>298.51299999999998</v>
      </c>
      <c r="D27" s="271">
        <v>308.5428</v>
      </c>
      <c r="E27" s="272">
        <v>88.138999999999996</v>
      </c>
      <c r="F27" s="273">
        <v>27.524999999999999</v>
      </c>
      <c r="G27" s="274">
        <v>-4.1900000000000004</v>
      </c>
      <c r="H27" s="275">
        <v>-4.41</v>
      </c>
      <c r="I27" s="274">
        <v>1.1599999999999999</v>
      </c>
      <c r="J27" s="275">
        <v>6.28</v>
      </c>
      <c r="K27" s="275">
        <v>3.323</v>
      </c>
      <c r="L27" s="275">
        <v>7.913978494623656</v>
      </c>
      <c r="M27" s="275">
        <v>-12.260000190734864</v>
      </c>
      <c r="N27" s="240"/>
      <c r="O27" s="262"/>
      <c r="R27" s="276"/>
      <c r="S27" s="277"/>
      <c r="T27" s="277"/>
      <c r="U27" s="242"/>
      <c r="V27" s="262"/>
      <c r="AA27" s="262"/>
      <c r="AD27" s="276"/>
      <c r="AE27" s="277"/>
      <c r="AF27" s="277"/>
      <c r="AG27" s="277"/>
      <c r="AH27" s="262"/>
      <c r="AJ27" s="243"/>
      <c r="CF27" s="278">
        <v>-3.95</v>
      </c>
      <c r="CG27" s="275">
        <v>6.2700000000000005</v>
      </c>
    </row>
    <row r="28" spans="1:85" s="263" customFormat="1" ht="18" customHeight="1" x14ac:dyDescent="0.2">
      <c r="A28" s="279"/>
      <c r="B28" s="280">
        <v>545</v>
      </c>
      <c r="C28" s="281">
        <v>403.51299999999998</v>
      </c>
      <c r="D28" s="282">
        <v>413.5428</v>
      </c>
      <c r="E28" s="283">
        <v>79.770200000000003</v>
      </c>
      <c r="F28" s="284">
        <v>32.798999999999999</v>
      </c>
      <c r="G28" s="285">
        <v>-3.73</v>
      </c>
      <c r="H28" s="286">
        <v>-3.99</v>
      </c>
      <c r="I28" s="285">
        <v>0.55000000000000004</v>
      </c>
      <c r="J28" s="286">
        <v>5.77</v>
      </c>
      <c r="K28" s="286">
        <v>3.976</v>
      </c>
      <c r="L28" s="286">
        <v>7.8129032258064504</v>
      </c>
      <c r="M28" s="286">
        <v>-11.830000190734863</v>
      </c>
      <c r="N28" s="240"/>
      <c r="O28" s="262"/>
      <c r="R28" s="276"/>
      <c r="S28" s="277"/>
      <c r="T28" s="277"/>
      <c r="U28" s="242"/>
      <c r="V28" s="262"/>
      <c r="AA28" s="262"/>
      <c r="AD28" s="276"/>
      <c r="AE28" s="277"/>
      <c r="AF28" s="277"/>
      <c r="AG28" s="277"/>
      <c r="AH28" s="262"/>
      <c r="AJ28" s="243"/>
      <c r="CF28" s="287">
        <v>-4.6800000000000006</v>
      </c>
      <c r="CG28" s="286">
        <v>5.78</v>
      </c>
    </row>
    <row r="29" spans="1:85" s="263" customFormat="1" ht="18" customHeight="1" x14ac:dyDescent="0.2">
      <c r="A29" s="279"/>
      <c r="B29" s="280">
        <v>650</v>
      </c>
      <c r="C29" s="281">
        <v>508.51299999999998</v>
      </c>
      <c r="D29" s="282">
        <v>518.54279999999994</v>
      </c>
      <c r="E29" s="283">
        <v>74.684099999999987</v>
      </c>
      <c r="F29" s="284">
        <v>38.131999999999998</v>
      </c>
      <c r="G29" s="285">
        <v>-3.43</v>
      </c>
      <c r="H29" s="286">
        <v>-3.73</v>
      </c>
      <c r="I29" s="285">
        <v>0.13</v>
      </c>
      <c r="J29" s="286">
        <v>5.44</v>
      </c>
      <c r="K29" s="286">
        <v>4.6440000000000001</v>
      </c>
      <c r="L29" s="286">
        <v>7.7010752688172044</v>
      </c>
      <c r="M29" s="286">
        <v>-11.540000190734863</v>
      </c>
      <c r="N29" s="240"/>
      <c r="O29" s="262"/>
      <c r="R29" s="276"/>
      <c r="S29" s="277"/>
      <c r="T29" s="277"/>
      <c r="U29" s="242"/>
      <c r="V29" s="262"/>
      <c r="AA29" s="262"/>
      <c r="AD29" s="276"/>
      <c r="AE29" s="277"/>
      <c r="AF29" s="277"/>
      <c r="AG29" s="277"/>
      <c r="AH29" s="262"/>
      <c r="AJ29" s="243"/>
      <c r="CF29" s="287">
        <v>-5.18</v>
      </c>
      <c r="CG29" s="286">
        <v>5.4399999999999995</v>
      </c>
    </row>
    <row r="30" spans="1:85" s="263" customFormat="1" ht="18" customHeight="1" x14ac:dyDescent="0.2">
      <c r="A30" s="279"/>
      <c r="B30" s="280">
        <v>755</v>
      </c>
      <c r="C30" s="281">
        <v>613.51300000000003</v>
      </c>
      <c r="D30" s="282">
        <v>623.54279999999994</v>
      </c>
      <c r="E30" s="283">
        <v>71.281300000000002</v>
      </c>
      <c r="F30" s="284">
        <v>43.521999999999998</v>
      </c>
      <c r="G30" s="285">
        <v>-3.23</v>
      </c>
      <c r="H30" s="286">
        <v>-3.56</v>
      </c>
      <c r="I30" s="285">
        <v>-0.18</v>
      </c>
      <c r="J30" s="286">
        <v>-5.55</v>
      </c>
      <c r="K30" s="286">
        <v>5.35</v>
      </c>
      <c r="L30" s="286">
        <v>7.5806451612903221</v>
      </c>
      <c r="M30" s="286">
        <v>-11.310000190734863</v>
      </c>
      <c r="N30" s="240"/>
      <c r="O30" s="262"/>
      <c r="R30" s="276"/>
      <c r="S30" s="277"/>
      <c r="T30" s="277"/>
      <c r="U30" s="242"/>
      <c r="V30" s="262"/>
      <c r="AA30" s="262"/>
      <c r="AD30" s="276"/>
      <c r="AE30" s="277"/>
      <c r="AF30" s="277"/>
      <c r="AG30" s="277"/>
      <c r="AH30" s="262"/>
      <c r="AJ30" s="243"/>
      <c r="CF30" s="287">
        <v>-5.56</v>
      </c>
      <c r="CG30" s="286">
        <v>5.2</v>
      </c>
    </row>
    <row r="31" spans="1:85" s="263" customFormat="1" ht="18" customHeight="1" x14ac:dyDescent="0.2">
      <c r="A31" s="279"/>
      <c r="B31" s="280">
        <v>860</v>
      </c>
      <c r="C31" s="281">
        <v>718.51300000000003</v>
      </c>
      <c r="D31" s="282">
        <v>728.54280000000006</v>
      </c>
      <c r="E31" s="283">
        <v>68.857799999999997</v>
      </c>
      <c r="F31" s="284">
        <v>48.972999999999999</v>
      </c>
      <c r="G31" s="285">
        <v>-3.08</v>
      </c>
      <c r="H31" s="286">
        <v>-3.44</v>
      </c>
      <c r="I31" s="285">
        <v>-0.41</v>
      </c>
      <c r="J31" s="286">
        <v>-5.83</v>
      </c>
      <c r="K31" s="286">
        <v>6.07</v>
      </c>
      <c r="L31" s="286">
        <v>7.4505376344086018</v>
      </c>
      <c r="M31" s="286">
        <v>-11.120000190734864</v>
      </c>
      <c r="N31" s="240"/>
      <c r="O31" s="262"/>
      <c r="R31" s="276"/>
      <c r="S31" s="277"/>
      <c r="T31" s="277"/>
      <c r="U31" s="242"/>
      <c r="V31" s="262"/>
      <c r="AA31" s="262"/>
      <c r="AD31" s="276"/>
      <c r="AE31" s="277"/>
      <c r="AF31" s="277"/>
      <c r="AG31" s="277"/>
      <c r="AH31" s="262"/>
      <c r="AJ31" s="243"/>
      <c r="CF31" s="287">
        <v>-5.84</v>
      </c>
      <c r="CG31" s="286">
        <v>5.0199999999999996</v>
      </c>
    </row>
    <row r="32" spans="1:85" s="263" customFormat="1" ht="18" customHeight="1" x14ac:dyDescent="0.2">
      <c r="A32" s="279"/>
      <c r="B32" s="280">
        <v>965</v>
      </c>
      <c r="C32" s="281">
        <v>823.51300000000003</v>
      </c>
      <c r="D32" s="282">
        <v>833.54280000000006</v>
      </c>
      <c r="E32" s="283">
        <v>67.046999999999997</v>
      </c>
      <c r="F32" s="284">
        <v>54.47999999999999</v>
      </c>
      <c r="G32" s="285">
        <v>-2.96</v>
      </c>
      <c r="H32" s="286">
        <v>-3.35</v>
      </c>
      <c r="I32" s="285">
        <v>-0.59</v>
      </c>
      <c r="J32" s="286">
        <v>-6.05</v>
      </c>
      <c r="K32" s="286">
        <v>6.7850000000000001</v>
      </c>
      <c r="L32" s="286">
        <v>7.3096774193548377</v>
      </c>
      <c r="M32" s="286">
        <v>-10.940000190734864</v>
      </c>
      <c r="N32" s="240"/>
      <c r="O32" s="262"/>
      <c r="R32" s="276"/>
      <c r="S32" s="277"/>
      <c r="T32" s="277"/>
      <c r="U32" s="242"/>
      <c r="V32" s="262"/>
      <c r="AA32" s="262"/>
      <c r="AD32" s="276"/>
      <c r="AE32" s="277"/>
      <c r="AF32" s="277"/>
      <c r="AG32" s="277"/>
      <c r="AH32" s="262"/>
      <c r="AJ32" s="243"/>
      <c r="CF32" s="287">
        <v>-6.05</v>
      </c>
      <c r="CG32" s="286">
        <v>4.87</v>
      </c>
    </row>
    <row r="33" spans="1:85" s="263" customFormat="1" ht="18" customHeight="1" x14ac:dyDescent="0.2">
      <c r="A33" s="279"/>
      <c r="B33" s="280">
        <v>1070</v>
      </c>
      <c r="C33" s="281">
        <v>928.51300000000003</v>
      </c>
      <c r="D33" s="282">
        <v>938.54280000000006</v>
      </c>
      <c r="E33" s="283">
        <v>65.635300000000001</v>
      </c>
      <c r="F33" s="284">
        <v>60.030999999999999</v>
      </c>
      <c r="G33" s="285">
        <v>-2.87</v>
      </c>
      <c r="H33" s="286">
        <v>-3.28</v>
      </c>
      <c r="I33" s="285">
        <v>-0.74</v>
      </c>
      <c r="J33" s="286">
        <v>-6.21</v>
      </c>
      <c r="K33" s="286">
        <v>7.4950000000000001</v>
      </c>
      <c r="L33" s="286">
        <v>7.1634408602150534</v>
      </c>
      <c r="M33" s="286">
        <v>-10.770000190734864</v>
      </c>
      <c r="N33" s="240"/>
      <c r="O33" s="262"/>
      <c r="R33" s="276"/>
      <c r="S33" s="277"/>
      <c r="T33" s="277"/>
      <c r="U33" s="242"/>
      <c r="V33" s="262"/>
      <c r="AA33" s="262"/>
      <c r="AD33" s="276"/>
      <c r="AE33" s="277"/>
      <c r="AF33" s="277"/>
      <c r="AG33" s="277"/>
      <c r="AH33" s="262"/>
      <c r="AJ33" s="243"/>
      <c r="CF33" s="287">
        <v>-6.21</v>
      </c>
      <c r="CG33" s="286">
        <v>4.7299999999999995</v>
      </c>
    </row>
    <row r="34" spans="1:85" s="263" customFormat="1" ht="18" customHeight="1" x14ac:dyDescent="0.2">
      <c r="A34" s="279"/>
      <c r="B34" s="280">
        <v>1175</v>
      </c>
      <c r="C34" s="281">
        <v>1033.5129999999999</v>
      </c>
      <c r="D34" s="282">
        <v>1043.5429999999999</v>
      </c>
      <c r="E34" s="283">
        <v>64.489699999999999</v>
      </c>
      <c r="F34" s="284">
        <v>65.613</v>
      </c>
      <c r="G34" s="285">
        <v>-2.79</v>
      </c>
      <c r="H34" s="286">
        <v>-3.22</v>
      </c>
      <c r="I34" s="285">
        <v>-0.86</v>
      </c>
      <c r="J34" s="286">
        <v>-6.34</v>
      </c>
      <c r="K34" s="286">
        <v>8.202</v>
      </c>
      <c r="L34" s="286">
        <v>7.0139784946236556</v>
      </c>
      <c r="M34" s="286">
        <v>-10.610000190734864</v>
      </c>
      <c r="N34" s="240"/>
      <c r="O34" s="262"/>
      <c r="R34" s="276"/>
      <c r="S34" s="277"/>
      <c r="T34" s="277"/>
      <c r="U34" s="242"/>
      <c r="V34" s="262"/>
      <c r="AA34" s="262"/>
      <c r="AD34" s="276"/>
      <c r="AE34" s="277"/>
      <c r="AF34" s="277"/>
      <c r="AG34" s="277"/>
      <c r="AH34" s="262"/>
      <c r="AJ34" s="243"/>
      <c r="CF34" s="287">
        <v>-6.3400000000000007</v>
      </c>
      <c r="CG34" s="286">
        <v>4.62</v>
      </c>
    </row>
    <row r="35" spans="1:85" s="263" customFormat="1" ht="18" customHeight="1" thickBot="1" x14ac:dyDescent="0.25">
      <c r="A35" s="291"/>
      <c r="B35" s="292">
        <v>1280</v>
      </c>
      <c r="C35" s="293">
        <v>1138.5129999999999</v>
      </c>
      <c r="D35" s="294">
        <v>1148.5429999999999</v>
      </c>
      <c r="E35" s="295">
        <v>63.524000000000001</v>
      </c>
      <c r="F35" s="296">
        <v>71.209999999999994</v>
      </c>
      <c r="G35" s="297">
        <v>-2.72</v>
      </c>
      <c r="H35" s="298">
        <v>-3.18</v>
      </c>
      <c r="I35" s="297">
        <v>-0.97</v>
      </c>
      <c r="J35" s="298">
        <v>-6.44</v>
      </c>
      <c r="K35" s="298">
        <v>8.907</v>
      </c>
      <c r="L35" s="298">
        <v>6.8634408602150536</v>
      </c>
      <c r="M35" s="298">
        <v>-10.460000190734863</v>
      </c>
      <c r="N35" s="240"/>
      <c r="O35" s="262"/>
      <c r="R35" s="276"/>
      <c r="S35" s="277"/>
      <c r="T35" s="277"/>
      <c r="U35" s="242"/>
      <c r="V35" s="262"/>
      <c r="AA35" s="262"/>
      <c r="AD35" s="276"/>
      <c r="AE35" s="277"/>
      <c r="AF35" s="277"/>
      <c r="AG35" s="277"/>
      <c r="AH35" s="262"/>
      <c r="AJ35" s="243"/>
      <c r="CF35" s="299">
        <v>-6.4399999999999995</v>
      </c>
      <c r="CG35" s="298">
        <v>4.5</v>
      </c>
    </row>
    <row r="36" spans="1:85" s="263" customFormat="1" ht="18" customHeight="1" x14ac:dyDescent="0.2">
      <c r="A36" s="268">
        <v>-2</v>
      </c>
      <c r="B36" s="269">
        <v>440</v>
      </c>
      <c r="C36" s="270">
        <v>298.51299999999998</v>
      </c>
      <c r="D36" s="271">
        <v>308.5428</v>
      </c>
      <c r="E36" s="272">
        <v>65.099599999999995</v>
      </c>
      <c r="F36" s="273">
        <v>20.388999999999999</v>
      </c>
      <c r="G36" s="274">
        <v>-3.04</v>
      </c>
      <c r="H36" s="275">
        <v>-3.25</v>
      </c>
      <c r="I36" s="274">
        <v>1.99</v>
      </c>
      <c r="J36" s="275">
        <v>7.1</v>
      </c>
      <c r="K36" s="275">
        <v>3.3940000000000001</v>
      </c>
      <c r="L36" s="275">
        <v>7.913978494623656</v>
      </c>
      <c r="M36" s="275">
        <v>-11.770000190734864</v>
      </c>
      <c r="N36" s="240"/>
      <c r="O36" s="262"/>
      <c r="R36" s="276"/>
      <c r="S36" s="277"/>
      <c r="T36" s="277"/>
      <c r="U36" s="242"/>
      <c r="V36" s="262"/>
      <c r="AA36" s="262"/>
      <c r="AD36" s="276"/>
      <c r="AE36" s="277"/>
      <c r="AF36" s="277"/>
      <c r="AG36" s="277"/>
      <c r="AH36" s="262"/>
      <c r="AJ36" s="243"/>
      <c r="CF36" s="278">
        <v>-3.12</v>
      </c>
      <c r="CG36" s="275">
        <v>7.1000000000000005</v>
      </c>
    </row>
    <row r="37" spans="1:85" s="263" customFormat="1" ht="18" customHeight="1" x14ac:dyDescent="0.2">
      <c r="A37" s="279"/>
      <c r="B37" s="280">
        <v>545</v>
      </c>
      <c r="C37" s="281">
        <v>403.51299999999998</v>
      </c>
      <c r="D37" s="282">
        <v>413.5428</v>
      </c>
      <c r="E37" s="283">
        <v>57.062800000000003</v>
      </c>
      <c r="F37" s="284">
        <v>23.515000000000001</v>
      </c>
      <c r="G37" s="285">
        <v>-2.59</v>
      </c>
      <c r="H37" s="286">
        <v>-2.85</v>
      </c>
      <c r="I37" s="285">
        <v>1.42</v>
      </c>
      <c r="J37" s="286">
        <v>6.64</v>
      </c>
      <c r="K37" s="286">
        <v>4.0510000000000002</v>
      </c>
      <c r="L37" s="286">
        <v>7.8129032258064504</v>
      </c>
      <c r="M37" s="286">
        <v>-11.360000190734864</v>
      </c>
      <c r="N37" s="240"/>
      <c r="O37" s="234"/>
      <c r="P37" s="234"/>
      <c r="Q37" s="234"/>
      <c r="R37" s="241"/>
      <c r="S37" s="241"/>
      <c r="T37" s="241"/>
      <c r="U37" s="242"/>
      <c r="V37" s="234"/>
      <c r="W37" s="234"/>
      <c r="X37" s="234"/>
      <c r="AA37" s="234"/>
      <c r="AB37" s="234"/>
      <c r="AC37" s="234"/>
      <c r="AD37" s="241"/>
      <c r="AE37" s="241"/>
      <c r="AF37" s="241"/>
      <c r="AG37" s="241"/>
      <c r="AH37" s="234"/>
      <c r="AI37" s="234"/>
      <c r="AJ37" s="243"/>
      <c r="CF37" s="287">
        <v>-3.8100000000000005</v>
      </c>
      <c r="CG37" s="286">
        <v>6.65</v>
      </c>
    </row>
    <row r="38" spans="1:85" s="263" customFormat="1" ht="18" customHeight="1" x14ac:dyDescent="0.2">
      <c r="A38" s="279"/>
      <c r="B38" s="280">
        <v>650</v>
      </c>
      <c r="C38" s="281">
        <v>508.51299999999998</v>
      </c>
      <c r="D38" s="282">
        <v>518.54279999999994</v>
      </c>
      <c r="E38" s="283">
        <v>52.207700000000003</v>
      </c>
      <c r="F38" s="284">
        <v>26.702999999999999</v>
      </c>
      <c r="G38" s="285">
        <v>-2.31</v>
      </c>
      <c r="H38" s="286">
        <v>-2.61</v>
      </c>
      <c r="I38" s="285">
        <v>1.03</v>
      </c>
      <c r="J38" s="286">
        <v>6.34</v>
      </c>
      <c r="K38" s="286">
        <v>4.7210000000000001</v>
      </c>
      <c r="L38" s="286">
        <v>7.7010752688172044</v>
      </c>
      <c r="M38" s="286">
        <v>-11.070000190734863</v>
      </c>
      <c r="N38" s="240"/>
      <c r="O38" s="234"/>
      <c r="P38" s="234"/>
      <c r="Q38" s="234"/>
      <c r="R38" s="241"/>
      <c r="S38" s="241"/>
      <c r="T38" s="241"/>
      <c r="U38" s="242"/>
      <c r="V38" s="234"/>
      <c r="W38" s="234"/>
      <c r="X38" s="234"/>
      <c r="AA38" s="234"/>
      <c r="AB38" s="234"/>
      <c r="AC38" s="234"/>
      <c r="AD38" s="241"/>
      <c r="AE38" s="241"/>
      <c r="AF38" s="241"/>
      <c r="AG38" s="241"/>
      <c r="AH38" s="234"/>
      <c r="AI38" s="234"/>
      <c r="AJ38" s="243"/>
      <c r="CF38" s="287">
        <v>-4.2799999999999994</v>
      </c>
      <c r="CG38" s="286">
        <v>6.34</v>
      </c>
    </row>
    <row r="39" spans="1:85" s="263" customFormat="1" ht="18" customHeight="1" x14ac:dyDescent="0.2">
      <c r="A39" s="279"/>
      <c r="B39" s="280">
        <v>755</v>
      </c>
      <c r="C39" s="281">
        <v>613.51300000000003</v>
      </c>
      <c r="D39" s="282">
        <v>623.54279999999994</v>
      </c>
      <c r="E39" s="283">
        <v>48.984999999999999</v>
      </c>
      <c r="F39" s="284">
        <v>29.951000000000001</v>
      </c>
      <c r="G39" s="285">
        <v>-2.11</v>
      </c>
      <c r="H39" s="286">
        <v>-2.4500000000000002</v>
      </c>
      <c r="I39" s="285">
        <v>0.75</v>
      </c>
      <c r="J39" s="286">
        <v>6.13</v>
      </c>
      <c r="K39" s="286">
        <v>5.399</v>
      </c>
      <c r="L39" s="286">
        <v>7.5806451612903221</v>
      </c>
      <c r="M39" s="286">
        <v>-10.850000190734864</v>
      </c>
      <c r="N39" s="240"/>
      <c r="O39" s="234"/>
      <c r="P39" s="234"/>
      <c r="Q39" s="234"/>
      <c r="R39" s="241"/>
      <c r="S39" s="241"/>
      <c r="T39" s="241"/>
      <c r="U39" s="242"/>
      <c r="V39" s="234"/>
      <c r="W39" s="234"/>
      <c r="X39" s="234"/>
      <c r="AA39" s="234"/>
      <c r="AB39" s="234"/>
      <c r="AC39" s="234"/>
      <c r="AD39" s="241"/>
      <c r="AE39" s="241"/>
      <c r="AF39" s="241"/>
      <c r="AG39" s="241"/>
      <c r="AH39" s="234"/>
      <c r="AI39" s="234"/>
      <c r="AJ39" s="243"/>
      <c r="CF39" s="287">
        <v>-4.63</v>
      </c>
      <c r="CG39" s="286">
        <v>6.13</v>
      </c>
    </row>
    <row r="40" spans="1:85" s="263" customFormat="1" ht="18" customHeight="1" x14ac:dyDescent="0.2">
      <c r="A40" s="279"/>
      <c r="B40" s="280">
        <v>860</v>
      </c>
      <c r="C40" s="281">
        <v>718.51300000000003</v>
      </c>
      <c r="D40" s="282">
        <v>728.54280000000006</v>
      </c>
      <c r="E40" s="283">
        <v>46.712700000000005</v>
      </c>
      <c r="F40" s="284">
        <v>33.262</v>
      </c>
      <c r="G40" s="285">
        <v>-1.97</v>
      </c>
      <c r="H40" s="286">
        <v>-2.34</v>
      </c>
      <c r="I40" s="285">
        <v>0.54</v>
      </c>
      <c r="J40" s="286">
        <v>5.96</v>
      </c>
      <c r="K40" s="286">
        <v>6.0810000000000004</v>
      </c>
      <c r="L40" s="286">
        <v>7.4505376344086018</v>
      </c>
      <c r="M40" s="286">
        <v>-10.660000190734863</v>
      </c>
      <c r="N40" s="240"/>
      <c r="O40" s="262"/>
      <c r="R40" s="264"/>
      <c r="S40" s="264"/>
      <c r="T40" s="264"/>
      <c r="U40" s="242"/>
      <c r="V40" s="262"/>
      <c r="AA40" s="262"/>
      <c r="AD40" s="264"/>
      <c r="AE40" s="264"/>
      <c r="AF40" s="264"/>
      <c r="AG40" s="264"/>
      <c r="AH40" s="262"/>
      <c r="AJ40" s="243"/>
      <c r="CF40" s="287">
        <v>-4.8899999999999997</v>
      </c>
      <c r="CG40" s="286">
        <v>5.97</v>
      </c>
    </row>
    <row r="41" spans="1:85" s="263" customFormat="1" ht="18" customHeight="1" x14ac:dyDescent="0.2">
      <c r="A41" s="279"/>
      <c r="B41" s="280">
        <v>965</v>
      </c>
      <c r="C41" s="281">
        <v>823.51300000000003</v>
      </c>
      <c r="D41" s="282">
        <v>833.54280000000006</v>
      </c>
      <c r="E41" s="283">
        <v>45.035299999999999</v>
      </c>
      <c r="F41" s="284">
        <v>36.630000000000003</v>
      </c>
      <c r="G41" s="285">
        <v>-1.86</v>
      </c>
      <c r="H41" s="286">
        <v>-2.25</v>
      </c>
      <c r="I41" s="285">
        <v>0.37</v>
      </c>
      <c r="J41" s="286">
        <v>5.82</v>
      </c>
      <c r="K41" s="286">
        <v>6.766</v>
      </c>
      <c r="L41" s="286">
        <v>7.3096774193548377</v>
      </c>
      <c r="M41" s="286">
        <v>-10.480000190734863</v>
      </c>
      <c r="N41" s="240"/>
      <c r="O41" s="262"/>
      <c r="R41" s="276"/>
      <c r="S41" s="277"/>
      <c r="T41" s="277"/>
      <c r="U41" s="242"/>
      <c r="V41" s="262"/>
      <c r="AA41" s="262"/>
      <c r="AD41" s="276"/>
      <c r="AE41" s="277"/>
      <c r="AF41" s="277"/>
      <c r="AG41" s="277"/>
      <c r="AH41" s="262"/>
      <c r="AJ41" s="243"/>
      <c r="CF41" s="287">
        <v>-5.09</v>
      </c>
      <c r="CG41" s="286">
        <v>5.83</v>
      </c>
    </row>
    <row r="42" spans="1:85" s="263" customFormat="1" ht="18" customHeight="1" x14ac:dyDescent="0.2">
      <c r="A42" s="279"/>
      <c r="B42" s="280">
        <v>1070</v>
      </c>
      <c r="C42" s="281">
        <v>928.51300000000003</v>
      </c>
      <c r="D42" s="282">
        <v>938.54280000000006</v>
      </c>
      <c r="E42" s="283">
        <v>43.745400000000004</v>
      </c>
      <c r="F42" s="284">
        <v>40.045000000000002</v>
      </c>
      <c r="G42" s="285">
        <v>-1.77</v>
      </c>
      <c r="H42" s="286">
        <v>-2.19</v>
      </c>
      <c r="I42" s="285">
        <v>0.23</v>
      </c>
      <c r="J42" s="286">
        <v>5.7</v>
      </c>
      <c r="K42" s="286">
        <v>7.452</v>
      </c>
      <c r="L42" s="286">
        <v>7.1634408602150534</v>
      </c>
      <c r="M42" s="286">
        <v>-10.310000190734863</v>
      </c>
      <c r="N42" s="240"/>
      <c r="O42" s="262"/>
      <c r="R42" s="276"/>
      <c r="S42" s="277"/>
      <c r="T42" s="277"/>
      <c r="U42" s="242"/>
      <c r="V42" s="262"/>
      <c r="AA42" s="262"/>
      <c r="AD42" s="276"/>
      <c r="AE42" s="277"/>
      <c r="AF42" s="277"/>
      <c r="AG42" s="277"/>
      <c r="AH42" s="262"/>
      <c r="AJ42" s="243"/>
      <c r="CF42" s="287">
        <v>-5.2399999999999993</v>
      </c>
      <c r="CG42" s="286">
        <v>5.7</v>
      </c>
    </row>
    <row r="43" spans="1:85" s="263" customFormat="1" ht="18" customHeight="1" x14ac:dyDescent="0.2">
      <c r="A43" s="279"/>
      <c r="B43" s="280">
        <v>1175</v>
      </c>
      <c r="C43" s="281">
        <v>1033.5129999999999</v>
      </c>
      <c r="D43" s="282">
        <v>1043.5429999999999</v>
      </c>
      <c r="E43" s="283">
        <v>42.713800000000006</v>
      </c>
      <c r="F43" s="284">
        <v>43.491</v>
      </c>
      <c r="G43" s="285">
        <v>-1.7</v>
      </c>
      <c r="H43" s="286">
        <v>-2.14</v>
      </c>
      <c r="I43" s="285">
        <v>0.12</v>
      </c>
      <c r="J43" s="286">
        <v>5.6</v>
      </c>
      <c r="K43" s="286">
        <v>8.1389999999999993</v>
      </c>
      <c r="L43" s="286">
        <v>7.0139784946236556</v>
      </c>
      <c r="M43" s="286">
        <v>-10.150000190734863</v>
      </c>
      <c r="N43" s="240"/>
      <c r="O43" s="262"/>
      <c r="R43" s="276"/>
      <c r="S43" s="277"/>
      <c r="T43" s="277"/>
      <c r="U43" s="242"/>
      <c r="V43" s="262"/>
      <c r="AA43" s="262"/>
      <c r="AD43" s="276"/>
      <c r="AE43" s="277"/>
      <c r="AF43" s="277"/>
      <c r="AG43" s="277"/>
      <c r="AH43" s="262"/>
      <c r="AJ43" s="243"/>
      <c r="CF43" s="287">
        <v>-5.36</v>
      </c>
      <c r="CG43" s="286">
        <v>5.6000000000000005</v>
      </c>
    </row>
    <row r="44" spans="1:85" s="263" customFormat="1" ht="18" customHeight="1" thickBot="1" x14ac:dyDescent="0.25">
      <c r="A44" s="291"/>
      <c r="B44" s="292">
        <v>1280</v>
      </c>
      <c r="C44" s="293">
        <v>1138.5129999999999</v>
      </c>
      <c r="D44" s="294">
        <v>1148.5429999999999</v>
      </c>
      <c r="E44" s="295">
        <v>41.856400000000001</v>
      </c>
      <c r="F44" s="296">
        <v>46.951999999999998</v>
      </c>
      <c r="G44" s="297">
        <v>-1.64</v>
      </c>
      <c r="H44" s="298">
        <v>-2.09</v>
      </c>
      <c r="I44" s="297">
        <v>0.02</v>
      </c>
      <c r="J44" s="298">
        <v>5.5</v>
      </c>
      <c r="K44" s="298">
        <v>8.8260000000000005</v>
      </c>
      <c r="L44" s="298">
        <v>6.8634408602150536</v>
      </c>
      <c r="M44" s="298">
        <v>-10.000000190734863</v>
      </c>
      <c r="N44" s="240"/>
      <c r="O44" s="262"/>
      <c r="R44" s="276"/>
      <c r="S44" s="277"/>
      <c r="T44" s="277"/>
      <c r="U44" s="242"/>
      <c r="V44" s="262"/>
      <c r="AA44" s="262"/>
      <c r="AD44" s="276"/>
      <c r="AE44" s="277"/>
      <c r="AF44" s="277"/>
      <c r="AG44" s="277"/>
      <c r="AH44" s="262"/>
      <c r="AJ44" s="243"/>
      <c r="CF44" s="299">
        <v>-5.45</v>
      </c>
      <c r="CG44" s="298">
        <v>5.4899999999999993</v>
      </c>
    </row>
    <row r="45" spans="1:85" s="263" customFormat="1" ht="18" customHeight="1" x14ac:dyDescent="0.2">
      <c r="A45" s="268">
        <v>0</v>
      </c>
      <c r="B45" s="269">
        <v>440</v>
      </c>
      <c r="C45" s="270">
        <v>298.51299999999998</v>
      </c>
      <c r="D45" s="271">
        <v>308.5428</v>
      </c>
      <c r="E45" s="272">
        <v>42.060199999999995</v>
      </c>
      <c r="F45" s="273">
        <v>13.253</v>
      </c>
      <c r="G45" s="274">
        <v>-1.89</v>
      </c>
      <c r="H45" s="275">
        <v>-2.1</v>
      </c>
      <c r="I45" s="274">
        <v>2.81</v>
      </c>
      <c r="J45" s="275">
        <v>7.93</v>
      </c>
      <c r="K45" s="275">
        <v>3.464</v>
      </c>
      <c r="L45" s="275">
        <v>7.913978494623656</v>
      </c>
      <c r="M45" s="275">
        <v>-11.730000190734863</v>
      </c>
      <c r="N45" s="240"/>
      <c r="O45" s="262"/>
      <c r="R45" s="276"/>
      <c r="S45" s="277"/>
      <c r="T45" s="277"/>
      <c r="U45" s="242"/>
      <c r="V45" s="262"/>
      <c r="AA45" s="262"/>
      <c r="AD45" s="276"/>
      <c r="AE45" s="277"/>
      <c r="AF45" s="277"/>
      <c r="AG45" s="277"/>
      <c r="AH45" s="262"/>
      <c r="AJ45" s="243"/>
      <c r="CF45" s="278">
        <v>-2.3000000000000003</v>
      </c>
      <c r="CG45" s="275">
        <v>7.92</v>
      </c>
    </row>
    <row r="46" spans="1:85" s="263" customFormat="1" ht="18" customHeight="1" x14ac:dyDescent="0.2">
      <c r="A46" s="279"/>
      <c r="B46" s="280">
        <v>545</v>
      </c>
      <c r="C46" s="281">
        <v>403.51299999999998</v>
      </c>
      <c r="D46" s="282">
        <v>413.5428</v>
      </c>
      <c r="E46" s="283">
        <v>34.3553</v>
      </c>
      <c r="F46" s="284">
        <v>14.230000000000002</v>
      </c>
      <c r="G46" s="285">
        <v>-1.46</v>
      </c>
      <c r="H46" s="286">
        <v>-1.72</v>
      </c>
      <c r="I46" s="285">
        <v>2.29</v>
      </c>
      <c r="J46" s="286">
        <v>7.51</v>
      </c>
      <c r="K46" s="286">
        <v>4.125</v>
      </c>
      <c r="L46" s="286">
        <v>7.8129032258064504</v>
      </c>
      <c r="M46" s="286">
        <v>-11.330000190734863</v>
      </c>
      <c r="N46" s="240"/>
      <c r="O46" s="262"/>
      <c r="R46" s="276"/>
      <c r="S46" s="277"/>
      <c r="T46" s="277"/>
      <c r="U46" s="242"/>
      <c r="V46" s="262"/>
      <c r="AA46" s="262"/>
      <c r="AD46" s="276"/>
      <c r="AE46" s="277"/>
      <c r="AF46" s="277"/>
      <c r="AG46" s="277"/>
      <c r="AH46" s="262"/>
      <c r="AJ46" s="243"/>
      <c r="CF46" s="287">
        <v>-2.9400000000000004</v>
      </c>
      <c r="CG46" s="286">
        <v>7.5200000000000005</v>
      </c>
    </row>
    <row r="47" spans="1:85" s="263" customFormat="1" ht="18" customHeight="1" x14ac:dyDescent="0.2">
      <c r="A47" s="279"/>
      <c r="B47" s="280">
        <v>650</v>
      </c>
      <c r="C47" s="281">
        <v>508.51299999999998</v>
      </c>
      <c r="D47" s="282">
        <v>518.54279999999994</v>
      </c>
      <c r="E47" s="283">
        <v>29.731300000000001</v>
      </c>
      <c r="F47" s="284">
        <v>15.273999999999997</v>
      </c>
      <c r="G47" s="285">
        <v>-1.18</v>
      </c>
      <c r="H47" s="286">
        <v>-1.49</v>
      </c>
      <c r="I47" s="285">
        <v>1.93</v>
      </c>
      <c r="J47" s="286">
        <v>7.24</v>
      </c>
      <c r="K47" s="286">
        <v>4.798</v>
      </c>
      <c r="L47" s="286">
        <v>7.7010752688172044</v>
      </c>
      <c r="M47" s="286">
        <v>-11.050000190734863</v>
      </c>
      <c r="N47" s="240"/>
      <c r="O47" s="262"/>
      <c r="R47" s="276"/>
      <c r="S47" s="277"/>
      <c r="T47" s="277"/>
      <c r="U47" s="242"/>
      <c r="V47" s="262"/>
      <c r="AA47" s="262"/>
      <c r="AD47" s="276"/>
      <c r="AE47" s="277"/>
      <c r="AF47" s="277"/>
      <c r="AG47" s="277"/>
      <c r="AH47" s="262"/>
      <c r="AJ47" s="243"/>
      <c r="CF47" s="287">
        <v>-3.38</v>
      </c>
      <c r="CG47" s="286">
        <v>7.2399999999999993</v>
      </c>
    </row>
    <row r="48" spans="1:85" s="263" customFormat="1" ht="18" customHeight="1" x14ac:dyDescent="0.2">
      <c r="A48" s="279"/>
      <c r="B48" s="280">
        <v>755</v>
      </c>
      <c r="C48" s="281">
        <v>613.51300000000003</v>
      </c>
      <c r="D48" s="282">
        <v>623.54279999999994</v>
      </c>
      <c r="E48" s="283">
        <v>26.688699999999997</v>
      </c>
      <c r="F48" s="284">
        <v>16.381</v>
      </c>
      <c r="G48" s="285">
        <v>-1</v>
      </c>
      <c r="H48" s="286">
        <v>-1.33</v>
      </c>
      <c r="I48" s="285">
        <v>1.68</v>
      </c>
      <c r="J48" s="286">
        <v>7.05</v>
      </c>
      <c r="K48" s="286">
        <v>5.4779999999999998</v>
      </c>
      <c r="L48" s="286">
        <v>7.5806451612903221</v>
      </c>
      <c r="M48" s="286">
        <v>-10.840000190734862</v>
      </c>
      <c r="N48" s="240"/>
      <c r="O48" s="262"/>
      <c r="R48" s="276"/>
      <c r="S48" s="277"/>
      <c r="T48" s="277"/>
      <c r="U48" s="242"/>
      <c r="V48" s="262"/>
      <c r="AA48" s="262"/>
      <c r="AD48" s="276"/>
      <c r="AE48" s="277"/>
      <c r="AF48" s="277"/>
      <c r="AG48" s="277"/>
      <c r="AH48" s="262"/>
      <c r="AJ48" s="243"/>
      <c r="CF48" s="287">
        <v>-3.7</v>
      </c>
      <c r="CG48" s="286">
        <v>7.06</v>
      </c>
    </row>
    <row r="49" spans="1:85" s="263" customFormat="1" ht="18" customHeight="1" x14ac:dyDescent="0.2">
      <c r="A49" s="279"/>
      <c r="B49" s="280">
        <v>860</v>
      </c>
      <c r="C49" s="281">
        <v>718.51300000000003</v>
      </c>
      <c r="D49" s="282">
        <v>728.54280000000006</v>
      </c>
      <c r="E49" s="283">
        <v>24.567499999999999</v>
      </c>
      <c r="F49" s="284">
        <v>17.552</v>
      </c>
      <c r="G49" s="285">
        <v>-0.86</v>
      </c>
      <c r="H49" s="286">
        <v>-1.23</v>
      </c>
      <c r="I49" s="285">
        <v>1.48</v>
      </c>
      <c r="J49" s="286">
        <v>6.91</v>
      </c>
      <c r="K49" s="286">
        <v>6.1619999999999999</v>
      </c>
      <c r="L49" s="286">
        <v>7.4505376344086018</v>
      </c>
      <c r="M49" s="286">
        <v>-10.640000190734863</v>
      </c>
      <c r="N49" s="240"/>
      <c r="O49" s="262"/>
      <c r="R49" s="276"/>
      <c r="S49" s="277"/>
      <c r="T49" s="277"/>
      <c r="U49" s="242"/>
      <c r="V49" s="262"/>
      <c r="AA49" s="262"/>
      <c r="AD49" s="276"/>
      <c r="AE49" s="277"/>
      <c r="AF49" s="277"/>
      <c r="AG49" s="277"/>
      <c r="AH49" s="262"/>
      <c r="AJ49" s="243"/>
      <c r="CF49" s="287">
        <v>-3.9499999999999997</v>
      </c>
      <c r="CG49" s="286">
        <v>6.91</v>
      </c>
    </row>
    <row r="50" spans="1:85" s="263" customFormat="1" ht="18" customHeight="1" x14ac:dyDescent="0.2">
      <c r="A50" s="279"/>
      <c r="B50" s="280">
        <v>965</v>
      </c>
      <c r="C50" s="281">
        <v>823.51300000000003</v>
      </c>
      <c r="D50" s="282">
        <v>833.54280000000006</v>
      </c>
      <c r="E50" s="283">
        <v>23.023499999999999</v>
      </c>
      <c r="F50" s="284">
        <v>18.780999999999999</v>
      </c>
      <c r="G50" s="285">
        <v>-0.76</v>
      </c>
      <c r="H50" s="286">
        <v>-1.1499999999999999</v>
      </c>
      <c r="I50" s="285">
        <v>1.33</v>
      </c>
      <c r="J50" s="286">
        <v>6.78</v>
      </c>
      <c r="K50" s="286">
        <v>6.8479999999999999</v>
      </c>
      <c r="L50" s="286">
        <v>7.3096774193548377</v>
      </c>
      <c r="M50" s="286">
        <v>-10.470000190734863</v>
      </c>
      <c r="N50" s="240"/>
      <c r="O50" s="262"/>
      <c r="R50" s="276"/>
      <c r="S50" s="277"/>
      <c r="T50" s="277"/>
      <c r="U50" s="242"/>
      <c r="V50" s="262"/>
      <c r="AA50" s="262"/>
      <c r="AD50" s="276"/>
      <c r="AE50" s="277"/>
      <c r="AF50" s="277"/>
      <c r="AG50" s="277"/>
      <c r="AH50" s="262"/>
      <c r="AJ50" s="243"/>
      <c r="CF50" s="287">
        <v>-4.13</v>
      </c>
      <c r="CG50" s="286">
        <v>6.79</v>
      </c>
    </row>
    <row r="51" spans="1:85" s="263" customFormat="1" ht="18" customHeight="1" x14ac:dyDescent="0.2">
      <c r="A51" s="279"/>
      <c r="B51" s="280">
        <v>1070</v>
      </c>
      <c r="C51" s="281">
        <v>928.51300000000003</v>
      </c>
      <c r="D51" s="282">
        <v>938.54280000000006</v>
      </c>
      <c r="E51" s="283">
        <v>21.855599999999999</v>
      </c>
      <c r="F51" s="284">
        <v>20.058</v>
      </c>
      <c r="G51" s="285">
        <v>-0.68</v>
      </c>
      <c r="H51" s="286">
        <v>-1.0900000000000001</v>
      </c>
      <c r="I51" s="285">
        <v>1.2</v>
      </c>
      <c r="J51" s="286">
        <v>6.68</v>
      </c>
      <c r="K51" s="286">
        <v>7.5350000000000001</v>
      </c>
      <c r="L51" s="286">
        <v>7.1634408602150534</v>
      </c>
      <c r="M51" s="286">
        <v>-10.300000190734863</v>
      </c>
      <c r="N51" s="240"/>
      <c r="O51" s="262"/>
      <c r="R51" s="276"/>
      <c r="S51" s="277"/>
      <c r="T51" s="277"/>
      <c r="U51" s="242"/>
      <c r="V51" s="262"/>
      <c r="AA51" s="262"/>
      <c r="AD51" s="276"/>
      <c r="AE51" s="277"/>
      <c r="AF51" s="277"/>
      <c r="AG51" s="277"/>
      <c r="AH51" s="262"/>
      <c r="AJ51" s="243"/>
      <c r="BK51" s="263" t="s">
        <v>47</v>
      </c>
      <c r="BM51" s="303" t="e">
        <f>MIN(BQ57,AS6)</f>
        <v>#N/A</v>
      </c>
      <c r="CF51" s="287">
        <v>-4.2699999999999996</v>
      </c>
      <c r="CG51" s="286">
        <v>6.67</v>
      </c>
    </row>
    <row r="52" spans="1:85" s="263" customFormat="1" ht="18" customHeight="1" x14ac:dyDescent="0.2">
      <c r="A52" s="304"/>
      <c r="B52" s="280">
        <v>1175</v>
      </c>
      <c r="C52" s="281">
        <v>1033.5129999999999</v>
      </c>
      <c r="D52" s="282">
        <v>1043.5429999999999</v>
      </c>
      <c r="E52" s="283">
        <v>20.937900000000003</v>
      </c>
      <c r="F52" s="284">
        <v>21.367999999999999</v>
      </c>
      <c r="G52" s="280">
        <v>-0.61</v>
      </c>
      <c r="H52" s="305">
        <v>-1.05</v>
      </c>
      <c r="I52" s="280">
        <v>1.1000000000000001</v>
      </c>
      <c r="J52" s="305">
        <v>6.58</v>
      </c>
      <c r="K52" s="286">
        <v>8.2230000000000008</v>
      </c>
      <c r="L52" s="286">
        <v>7.0139784946236556</v>
      </c>
      <c r="M52" s="286">
        <v>-10.140000190734863</v>
      </c>
      <c r="N52" s="240"/>
      <c r="O52" s="262"/>
      <c r="R52" s="276"/>
      <c r="S52" s="277"/>
      <c r="T52" s="277"/>
      <c r="U52" s="242"/>
      <c r="V52" s="262"/>
      <c r="AA52" s="262"/>
      <c r="AD52" s="276"/>
      <c r="AE52" s="277"/>
      <c r="AF52" s="277"/>
      <c r="AG52" s="277"/>
      <c r="AH52" s="262"/>
      <c r="AJ52" s="243"/>
      <c r="BK52" s="263" t="s">
        <v>46</v>
      </c>
      <c r="BM52" s="306">
        <f>BD9*BD6</f>
        <v>493.91113128977253</v>
      </c>
      <c r="CF52" s="307">
        <v>-4.3800000000000008</v>
      </c>
      <c r="CG52" s="305">
        <v>6.58</v>
      </c>
    </row>
    <row r="53" spans="1:85" s="263" customFormat="1" ht="18" customHeight="1" thickBot="1" x14ac:dyDescent="0.25">
      <c r="A53" s="300"/>
      <c r="B53" s="292">
        <v>1280</v>
      </c>
      <c r="C53" s="293">
        <v>1138.5129999999999</v>
      </c>
      <c r="D53" s="294">
        <v>1148.5429999999999</v>
      </c>
      <c r="E53" s="295">
        <v>20.1889</v>
      </c>
      <c r="F53" s="296">
        <v>22.693999999999999</v>
      </c>
      <c r="G53" s="297">
        <v>-0.56000000000000005</v>
      </c>
      <c r="H53" s="301">
        <v>-1.01</v>
      </c>
      <c r="I53" s="292">
        <v>1.01</v>
      </c>
      <c r="J53" s="301">
        <v>6.49</v>
      </c>
      <c r="K53" s="298">
        <v>8.9109999999999996</v>
      </c>
      <c r="L53" s="298">
        <v>6.8634408602150536</v>
      </c>
      <c r="M53" s="298">
        <v>-9.9900001907348628</v>
      </c>
      <c r="N53" s="240"/>
      <c r="O53" s="234"/>
      <c r="P53" s="234"/>
      <c r="Q53" s="234"/>
      <c r="R53" s="241"/>
      <c r="S53" s="241"/>
      <c r="T53" s="241"/>
      <c r="U53" s="242"/>
      <c r="V53" s="234"/>
      <c r="W53" s="234"/>
      <c r="X53" s="234"/>
      <c r="AA53" s="234"/>
      <c r="AB53" s="234"/>
      <c r="AC53" s="234"/>
      <c r="AD53" s="241"/>
      <c r="AE53" s="241"/>
      <c r="AF53" s="241"/>
      <c r="AG53" s="241"/>
      <c r="AH53" s="234"/>
      <c r="AI53" s="234"/>
      <c r="AJ53" s="243"/>
      <c r="AU53" s="308" t="s">
        <v>142</v>
      </c>
      <c r="AV53" s="308"/>
      <c r="AW53" s="308"/>
      <c r="AX53" s="308"/>
      <c r="AY53" s="308"/>
      <c r="AZ53" s="308"/>
      <c r="BA53" s="308"/>
      <c r="BB53" s="308"/>
      <c r="BC53" s="308"/>
      <c r="BD53" s="308"/>
      <c r="BE53" s="308"/>
      <c r="BF53" s="308"/>
      <c r="BG53" s="309"/>
      <c r="CF53" s="302">
        <v>-4.46</v>
      </c>
      <c r="CG53" s="301">
        <v>6.4799999999999995</v>
      </c>
    </row>
    <row r="54" spans="1:85" s="263" customFormat="1" ht="18" customHeight="1" thickBot="1" x14ac:dyDescent="0.3">
      <c r="A54" s="224" t="str">
        <f>A2</f>
        <v>PARAGON DPDS3 Drillship (Alum) / Riser Analysis Detailed Results</v>
      </c>
      <c r="B54" s="224"/>
      <c r="C54" s="224"/>
      <c r="D54" s="224"/>
      <c r="E54" s="224"/>
      <c r="F54" s="224"/>
      <c r="G54" s="224"/>
      <c r="H54" s="224"/>
      <c r="I54" s="224"/>
      <c r="J54" s="224"/>
      <c r="K54" s="224"/>
      <c r="L54" s="224"/>
      <c r="M54" s="224"/>
      <c r="N54" s="310"/>
      <c r="O54" s="224" t="str">
        <f>O2</f>
        <v>PARAGON DPDS3 Drillship (Alum) / Riser Analysis Detailed Results</v>
      </c>
      <c r="P54" s="224"/>
      <c r="Q54" s="224"/>
      <c r="R54" s="224"/>
      <c r="S54" s="224"/>
      <c r="T54" s="224"/>
      <c r="U54" s="224"/>
      <c r="V54" s="224"/>
      <c r="W54" s="224"/>
      <c r="X54" s="224"/>
      <c r="AA54" s="311" t="s">
        <v>143</v>
      </c>
      <c r="AB54" s="311"/>
      <c r="AC54" s="311"/>
      <c r="AD54" s="311"/>
      <c r="AE54" s="311"/>
      <c r="AF54" s="311"/>
      <c r="AG54" s="311"/>
      <c r="AH54" s="311"/>
      <c r="AI54" s="311"/>
      <c r="AJ54" s="311"/>
      <c r="AK54" s="309"/>
      <c r="AU54" s="312"/>
      <c r="AV54" s="312"/>
      <c r="AW54" s="312"/>
      <c r="AX54" s="312"/>
      <c r="AY54" s="312"/>
      <c r="AZ54" s="312"/>
      <c r="BA54" s="312"/>
      <c r="BB54" s="312"/>
      <c r="BC54" s="312"/>
      <c r="BD54" s="312"/>
      <c r="BE54" s="312"/>
      <c r="BF54" s="312"/>
      <c r="BG54" s="309"/>
    </row>
    <row r="55" spans="1:85" s="263" customFormat="1" ht="18" customHeight="1" x14ac:dyDescent="0.25">
      <c r="A55" s="227" t="str">
        <f>A3</f>
        <v>1099.1 ft Water Depth / 0.5-Year South Current w/ 0.5-Year SW Waves / RWF=1.00,BRF=0.96</v>
      </c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310"/>
      <c r="O55" s="227" t="str">
        <f>O3</f>
        <v>1099.1 ft Water Depth / 0.5-Year South Current w/ 0.5-Year SW Waves / RWF=1.00,BRF=0.96</v>
      </c>
      <c r="P55" s="227"/>
      <c r="Q55" s="227"/>
      <c r="R55" s="227"/>
      <c r="S55" s="227"/>
      <c r="T55" s="227"/>
      <c r="U55" s="227"/>
      <c r="V55" s="227"/>
      <c r="W55" s="227"/>
      <c r="X55" s="227"/>
      <c r="AA55" s="313" t="str">
        <f>AA3</f>
        <v>1099.1 ft Water Depth / 0.5-Year South Current w/ 0.5-Year SW Waves / RWF=1.00,BRF=0.96</v>
      </c>
      <c r="AB55" s="313"/>
      <c r="AC55" s="313"/>
      <c r="AD55" s="313"/>
      <c r="AE55" s="313"/>
      <c r="AF55" s="313"/>
      <c r="AG55" s="313"/>
      <c r="AH55" s="313"/>
      <c r="AI55" s="313"/>
      <c r="AJ55" s="313"/>
      <c r="AK55" s="309"/>
      <c r="AU55" s="314" t="s">
        <v>39</v>
      </c>
      <c r="AV55" s="315"/>
      <c r="AW55" s="316"/>
      <c r="AX55" s="314" t="s">
        <v>40</v>
      </c>
      <c r="AY55" s="315"/>
      <c r="AZ55" s="316"/>
      <c r="BA55" s="314" t="s">
        <v>144</v>
      </c>
      <c r="BB55" s="315"/>
      <c r="BC55" s="315"/>
      <c r="BD55" s="315"/>
      <c r="BE55" s="315"/>
      <c r="BF55" s="316"/>
      <c r="BG55" s="309"/>
      <c r="BK55" s="317">
        <f>MAX(K9:K53,K60:K104)</f>
        <v>9.7319999999999993</v>
      </c>
      <c r="BL55" s="317">
        <f>MAX(L9:L53,L60:L104)</f>
        <v>7.913978494623656</v>
      </c>
    </row>
    <row r="56" spans="1:85" s="263" customFormat="1" ht="18" customHeight="1" thickBot="1" x14ac:dyDescent="0.3">
      <c r="A56" s="227" t="str">
        <f>A4</f>
        <v>2.69 knot Surface Current /  Mud Weight = 11 PPG / 8 x 120 kips + 4 x 80 kips</v>
      </c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 t="str">
        <f>O4</f>
        <v>2.69 knot Surface Current /  Mud Weight = 11 PPG / 8 x 120 kips + 4 x 80 kips</v>
      </c>
      <c r="P56" s="227"/>
      <c r="Q56" s="227"/>
      <c r="R56" s="227"/>
      <c r="S56" s="227"/>
      <c r="T56" s="227"/>
      <c r="U56" s="227"/>
      <c r="V56" s="227"/>
      <c r="W56" s="227"/>
      <c r="X56" s="227"/>
      <c r="AA56" s="313" t="str">
        <f>AA4</f>
        <v>2.69 knot Surface Current /  Mud Weight = 11 PPG / 8 x 120 kips + 4 x 80 kips</v>
      </c>
      <c r="AB56" s="313"/>
      <c r="AC56" s="313"/>
      <c r="AD56" s="313"/>
      <c r="AE56" s="313"/>
      <c r="AF56" s="313"/>
      <c r="AG56" s="313"/>
      <c r="AH56" s="313"/>
      <c r="AI56" s="313"/>
      <c r="AJ56" s="313"/>
      <c r="AK56" s="309"/>
      <c r="AU56" s="318" t="str">
        <f>AT3&amp;" ft"</f>
        <v>1099.09997558593 ft</v>
      </c>
      <c r="AV56" s="319"/>
      <c r="AW56" s="320"/>
      <c r="AX56" s="318" t="str">
        <f>AQ3&amp;" PPG"</f>
        <v>11 PPG</v>
      </c>
      <c r="AY56" s="319"/>
      <c r="AZ56" s="320"/>
      <c r="BA56" s="318" t="s">
        <v>145</v>
      </c>
      <c r="BB56" s="319"/>
      <c r="BC56" s="319"/>
      <c r="BD56" s="319"/>
      <c r="BE56" s="319"/>
      <c r="BF56" s="320"/>
      <c r="BG56" s="309"/>
      <c r="BK56" s="263" t="s">
        <v>82</v>
      </c>
      <c r="BL56" s="263" t="s">
        <v>83</v>
      </c>
      <c r="BQ56" s="263" t="s">
        <v>84</v>
      </c>
      <c r="BV56" s="263" t="s">
        <v>81</v>
      </c>
      <c r="BY56" s="263" t="s">
        <v>85</v>
      </c>
    </row>
    <row r="57" spans="1:85" ht="18" customHeight="1" thickBot="1" x14ac:dyDescent="0.25">
      <c r="A57" s="321" t="s">
        <v>0</v>
      </c>
      <c r="B57" s="236" t="s">
        <v>15</v>
      </c>
      <c r="C57" s="236" t="s">
        <v>16</v>
      </c>
      <c r="D57" s="237" t="s">
        <v>17</v>
      </c>
      <c r="E57" s="236" t="s">
        <v>12</v>
      </c>
      <c r="F57" s="237" t="s">
        <v>2</v>
      </c>
      <c r="G57" s="236" t="s">
        <v>7</v>
      </c>
      <c r="H57" s="237" t="s">
        <v>6</v>
      </c>
      <c r="I57" s="236" t="s">
        <v>9</v>
      </c>
      <c r="J57" s="237" t="s">
        <v>8</v>
      </c>
      <c r="K57" s="238" t="s">
        <v>13</v>
      </c>
      <c r="L57" s="239" t="s">
        <v>48</v>
      </c>
      <c r="M57" s="238" t="s">
        <v>14</v>
      </c>
      <c r="N57" s="322"/>
      <c r="O57" s="234"/>
      <c r="P57" s="234"/>
      <c r="Q57" s="234"/>
      <c r="R57" s="241"/>
      <c r="S57" s="241"/>
      <c r="T57" s="241"/>
      <c r="U57" s="242"/>
      <c r="V57" s="234"/>
      <c r="W57" s="234"/>
      <c r="X57" s="234"/>
      <c r="AA57" s="323"/>
      <c r="AB57" s="323"/>
      <c r="AC57" s="323"/>
      <c r="AD57" s="323"/>
      <c r="AE57" s="323"/>
      <c r="AF57" s="323"/>
      <c r="AG57" s="323"/>
      <c r="AH57" s="323"/>
      <c r="AI57" s="323"/>
      <c r="AJ57" s="324"/>
      <c r="AK57" s="324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4"/>
      <c r="BG57" s="324"/>
      <c r="BK57" s="325">
        <v>0.5</v>
      </c>
      <c r="BL57" s="325" t="e">
        <f>IF(BK58=BM58,BL58,(BN58-BL58)/(BM58-BK58)*(BK57-BK58)+BL58)</f>
        <v>#N/A</v>
      </c>
      <c r="BM57" s="326" t="e">
        <f>BL57/($BD6-1)*$BD6</f>
        <v>#N/A</v>
      </c>
      <c r="BN57" s="327" t="e">
        <f>IF(BM85=BK85,BL85,(BN85-BL85)/(BM85-BK85)*(BL57-BK85)+BL85)</f>
        <v>#N/A</v>
      </c>
      <c r="BP57" s="325">
        <v>0.5</v>
      </c>
      <c r="BQ57" s="325" t="e">
        <f>IF(BR58=BP58,BQ58,(BS58-BQ58)/(BR58-BP58)*(BP57-BP58)+BQ58)</f>
        <v>#N/A</v>
      </c>
      <c r="BR57" s="326" t="e">
        <f>BQ57/($BD6-1)*$BD6</f>
        <v>#N/A</v>
      </c>
      <c r="BS57" s="327" t="e">
        <f>IF(BR85=BP85,BQ85,(BS85-BQ85)/(BR85-BP85)*(BQ57-BP85)+BQ85)</f>
        <v>#N/A</v>
      </c>
      <c r="BV57" s="328" t="e">
        <f>MAX(BM51,BM52)</f>
        <v>#N/A</v>
      </c>
      <c r="BW57" s="326" t="e">
        <f>IF(BV58=BY58,BW58,(BZ58-BW58)/(BY58-BV58)*(BV57-BV58)+BW58)</f>
        <v>#N/A</v>
      </c>
      <c r="BX57" s="326" t="e">
        <f>IF(BV58=BY58,BX58,(CA58-BX58)/(BY58-BV58)*(BV57-BV58)+BX58)</f>
        <v>#N/A</v>
      </c>
      <c r="BY57" s="325" t="e">
        <f>(BX57-BW57)/2</f>
        <v>#N/A</v>
      </c>
      <c r="CF57" s="249" t="s">
        <v>99</v>
      </c>
      <c r="CG57" s="237" t="s">
        <v>100</v>
      </c>
    </row>
    <row r="58" spans="1:85" ht="18" customHeight="1" thickBot="1" x14ac:dyDescent="0.25">
      <c r="A58" s="329"/>
      <c r="B58" s="251"/>
      <c r="C58" s="251"/>
      <c r="D58" s="252"/>
      <c r="E58" s="251"/>
      <c r="F58" s="252"/>
      <c r="G58" s="251"/>
      <c r="H58" s="252"/>
      <c r="I58" s="251"/>
      <c r="J58" s="252"/>
      <c r="K58" s="253"/>
      <c r="L58" s="254"/>
      <c r="M58" s="253"/>
      <c r="N58" s="322"/>
      <c r="O58" s="234"/>
      <c r="P58" s="234"/>
      <c r="Q58" s="234"/>
      <c r="R58" s="241"/>
      <c r="S58" s="241"/>
      <c r="T58" s="241"/>
      <c r="U58" s="242"/>
      <c r="V58" s="234"/>
      <c r="W58" s="234"/>
      <c r="X58" s="234"/>
      <c r="AA58" s="330" t="s">
        <v>22</v>
      </c>
      <c r="AB58" s="331"/>
      <c r="AC58" s="332" t="s">
        <v>24</v>
      </c>
      <c r="AD58" s="333"/>
      <c r="AE58" s="332" t="s">
        <v>35</v>
      </c>
      <c r="AF58" s="333"/>
      <c r="AG58" s="332" t="s">
        <v>25</v>
      </c>
      <c r="AH58" s="333"/>
      <c r="AI58" s="332" t="s">
        <v>26</v>
      </c>
      <c r="AJ58" s="333"/>
      <c r="AK58" s="324"/>
      <c r="AU58" s="330" t="s">
        <v>22</v>
      </c>
      <c r="AV58" s="331"/>
      <c r="AW58" s="332" t="s">
        <v>38</v>
      </c>
      <c r="AX58" s="334"/>
      <c r="AY58" s="334"/>
      <c r="AZ58" s="333"/>
      <c r="BA58" s="332" t="str">
        <f xml:space="preserve"> "+Offset Direction"</f>
        <v>+Offset Direction</v>
      </c>
      <c r="BB58" s="334"/>
      <c r="BC58" s="334"/>
      <c r="BD58" s="334"/>
      <c r="BE58" s="332" t="s">
        <v>41</v>
      </c>
      <c r="BF58" s="333"/>
      <c r="BG58" s="324"/>
      <c r="BK58" s="230">
        <f>VLOOKUP($BK$57,BK59:BL69,1)</f>
        <v>-4.7548958977530393</v>
      </c>
      <c r="BL58" s="230">
        <f>VLOOKUP($BK$57,BK59:BL69,2)</f>
        <v>1385</v>
      </c>
      <c r="BM58" s="230" t="e">
        <f>-VLOOKUP(-$BK$57,$BM$59:$BN$69,1)</f>
        <v>#N/A</v>
      </c>
      <c r="BN58" s="230" t="e">
        <f>VLOOKUP(-$BK$57,$BM$59:$BN$69,2)</f>
        <v>#N/A</v>
      </c>
      <c r="BP58" s="230">
        <f>VLOOKUP($BP$57,BP59:BQ69,1)</f>
        <v>-2.9189857761286317</v>
      </c>
      <c r="BQ58" s="230">
        <f>VLOOKUP($BP$57,BP59:BQ69,2)</f>
        <v>1385</v>
      </c>
      <c r="BR58" s="230" t="e">
        <f>-VLOOKUP(-$BP$57,$BR$59:$BS$69,1)</f>
        <v>#N/A</v>
      </c>
      <c r="BS58" s="230" t="e">
        <f>VLOOKUP(-$BP$57,$BR$59:$BS$69,2)</f>
        <v>#N/A</v>
      </c>
      <c r="BV58" s="230" t="e">
        <f>VLOOKUP($BV$57,$BV60:$BX68,1)</f>
        <v>#N/A</v>
      </c>
      <c r="BW58" s="230" t="e">
        <f>VLOOKUP($BV$57,$BV60:$BX68,2)</f>
        <v>#N/A</v>
      </c>
      <c r="BX58" s="230" t="e">
        <f>VLOOKUP($BV$57,$BV60:$BX68,3)</f>
        <v>#N/A</v>
      </c>
      <c r="BY58" s="230" t="e">
        <f>-VLOOKUP(-$BV$57,$BY60:$CA68,1)</f>
        <v>#N/A</v>
      </c>
      <c r="BZ58" s="230" t="e">
        <f>VLOOKUP(-$BV$57,$BY60:$CA68,2)</f>
        <v>#N/A</v>
      </c>
      <c r="CA58" s="230" t="e">
        <f>VLOOKUP(-$BV$57,$BY60:$CA68,3)</f>
        <v>#N/A</v>
      </c>
      <c r="CF58" s="257"/>
      <c r="CG58" s="252"/>
    </row>
    <row r="59" spans="1:85" ht="18" customHeight="1" thickBot="1" x14ac:dyDescent="0.25">
      <c r="A59" s="335" t="s">
        <v>1</v>
      </c>
      <c r="B59" s="259" t="s">
        <v>3</v>
      </c>
      <c r="C59" s="259" t="s">
        <v>3</v>
      </c>
      <c r="D59" s="260" t="s">
        <v>3</v>
      </c>
      <c r="E59" s="336" t="s">
        <v>4</v>
      </c>
      <c r="F59" s="260" t="s">
        <v>3</v>
      </c>
      <c r="G59" s="259" t="s">
        <v>5</v>
      </c>
      <c r="H59" s="260" t="s">
        <v>5</v>
      </c>
      <c r="I59" s="259" t="s">
        <v>5</v>
      </c>
      <c r="J59" s="260" t="s">
        <v>5</v>
      </c>
      <c r="K59" s="261" t="s">
        <v>10</v>
      </c>
      <c r="L59" s="261" t="s">
        <v>10</v>
      </c>
      <c r="M59" s="261" t="s">
        <v>11</v>
      </c>
      <c r="N59" s="322"/>
      <c r="O59" s="262"/>
      <c r="P59" s="263"/>
      <c r="Q59" s="263"/>
      <c r="R59" s="264"/>
      <c r="S59" s="264"/>
      <c r="T59" s="264"/>
      <c r="U59" s="242"/>
      <c r="V59" s="262"/>
      <c r="W59" s="263"/>
      <c r="X59" s="263"/>
      <c r="AA59" s="337" t="s">
        <v>3</v>
      </c>
      <c r="AB59" s="338"/>
      <c r="AC59" s="339" t="s">
        <v>23</v>
      </c>
      <c r="AD59" s="340" t="s">
        <v>36</v>
      </c>
      <c r="AE59" s="339" t="s">
        <v>23</v>
      </c>
      <c r="AF59" s="340" t="s">
        <v>36</v>
      </c>
      <c r="AG59" s="339" t="s">
        <v>23</v>
      </c>
      <c r="AH59" s="340" t="s">
        <v>36</v>
      </c>
      <c r="AI59" s="339" t="s">
        <v>23</v>
      </c>
      <c r="AJ59" s="340" t="s">
        <v>36</v>
      </c>
      <c r="AK59" s="324"/>
      <c r="AU59" s="337" t="s">
        <v>3</v>
      </c>
      <c r="AV59" s="338"/>
      <c r="AW59" s="332" t="s">
        <v>23</v>
      </c>
      <c r="AX59" s="334"/>
      <c r="AY59" s="334" t="s">
        <v>11</v>
      </c>
      <c r="AZ59" s="333"/>
      <c r="BA59" s="332" t="s">
        <v>23</v>
      </c>
      <c r="BB59" s="334"/>
      <c r="BC59" s="334" t="s">
        <v>11</v>
      </c>
      <c r="BD59" s="333"/>
      <c r="BE59" s="341" t="s">
        <v>11</v>
      </c>
      <c r="BF59" s="342"/>
      <c r="BG59" s="324"/>
      <c r="BJ59" s="247">
        <v>1</v>
      </c>
      <c r="BK59" s="343">
        <f>BK60-(BK61-BK60)*BJ59</f>
        <v>-20</v>
      </c>
      <c r="BL59" s="343">
        <f>BL60-(BL61-BL60)*BJ59</f>
        <v>335</v>
      </c>
      <c r="BM59" s="343">
        <f>BM60-(BM61-BM60)*BJ69</f>
        <v>4.7548958977530393</v>
      </c>
      <c r="BN59" s="343">
        <f>BN60-(BN61-BN60)*BJ69</f>
        <v>1385</v>
      </c>
      <c r="BO59" s="247">
        <v>1</v>
      </c>
      <c r="BP59" s="343">
        <f>BP60-(BP61-BP60)*BO59</f>
        <v>-7.0964395850855055</v>
      </c>
      <c r="BQ59" s="343">
        <f>BQ60-(BQ61-BQ60)*BO59</f>
        <v>335</v>
      </c>
      <c r="BR59" s="343">
        <f>BR60-(BR61-BR60)*BO69</f>
        <v>2.9189857761286317</v>
      </c>
      <c r="BS59" s="343">
        <f>BS60-(BS61-BS60)*BO69</f>
        <v>1385</v>
      </c>
      <c r="CF59" s="267" t="s">
        <v>5</v>
      </c>
      <c r="CG59" s="260" t="s">
        <v>5</v>
      </c>
    </row>
    <row r="60" spans="1:85" ht="18" customHeight="1" x14ac:dyDescent="0.2">
      <c r="A60" s="268">
        <v>2</v>
      </c>
      <c r="B60" s="280">
        <v>440</v>
      </c>
      <c r="C60" s="281">
        <v>298.51299999999998</v>
      </c>
      <c r="D60" s="282">
        <v>308.5428</v>
      </c>
      <c r="E60" s="283">
        <v>19.020699999999998</v>
      </c>
      <c r="F60" s="284">
        <v>6.1173000000000002</v>
      </c>
      <c r="G60" s="285">
        <v>-0.74</v>
      </c>
      <c r="H60" s="286">
        <v>-0.95</v>
      </c>
      <c r="I60" s="285">
        <v>3.64</v>
      </c>
      <c r="J60" s="286">
        <v>8.75</v>
      </c>
      <c r="K60" s="275">
        <v>3.5350000000000001</v>
      </c>
      <c r="L60" s="275">
        <v>7.913978494623656</v>
      </c>
      <c r="M60" s="275">
        <v>-12.150000190734863</v>
      </c>
      <c r="N60" s="322"/>
      <c r="O60" s="262"/>
      <c r="P60" s="263"/>
      <c r="Q60" s="263"/>
      <c r="R60" s="276"/>
      <c r="S60" s="277"/>
      <c r="T60" s="277"/>
      <c r="U60" s="242"/>
      <c r="V60" s="262"/>
      <c r="W60" s="263"/>
      <c r="X60" s="263"/>
      <c r="AA60" s="344">
        <v>440</v>
      </c>
      <c r="AB60" s="345"/>
      <c r="AC60" s="346">
        <v>-4.1219512195121943</v>
      </c>
      <c r="AD60" s="347" t="str">
        <f t="shared" ref="AD60:AD68" si="0">INT(AC60*$AT$3/100) &amp; " ("&amp;AM60&amp;")"</f>
        <v>-46 (MXUA)</v>
      </c>
      <c r="AE60" s="346">
        <v>-5.3414634146341449</v>
      </c>
      <c r="AF60" s="347" t="str">
        <f t="shared" ref="AF60:AF68" si="1">INT(AE60*$AT$3/100) &amp; " ("&amp;AO60&amp;")"</f>
        <v>-59 (MXUA)</v>
      </c>
      <c r="AG60" s="346">
        <v>-20</v>
      </c>
      <c r="AH60" s="347" t="str">
        <f t="shared" ref="AH60:AH68" si="2">INT(AG60*$AT$3/100) &amp; " ("&amp;AQ60&amp;")"</f>
        <v>-220 (MXUA)</v>
      </c>
      <c r="AI60" s="346">
        <v>-20</v>
      </c>
      <c r="AJ60" s="347" t="str">
        <f t="shared" ref="AJ60:AJ68" si="3">INT(AI60*$AT$3/100) &amp; " ("&amp;AS60&amp;")"</f>
        <v>-220 (MXUA)</v>
      </c>
      <c r="AK60" s="324"/>
      <c r="AM60" s="221" t="s">
        <v>97</v>
      </c>
      <c r="AN60" s="221"/>
      <c r="AO60" s="221" t="s">
        <v>97</v>
      </c>
      <c r="AP60" s="221"/>
      <c r="AQ60" s="221" t="s">
        <v>97</v>
      </c>
      <c r="AR60" s="221"/>
      <c r="AS60" s="221" t="s">
        <v>97</v>
      </c>
      <c r="AT60" s="221"/>
      <c r="AU60" s="344">
        <f t="shared" ref="AU60:AU68" si="4">AA60</f>
        <v>440</v>
      </c>
      <c r="AV60" s="345"/>
      <c r="AW60" s="348">
        <f t="shared" ref="AW60:AW68" si="5">AC60</f>
        <v>-4.1219512195121943</v>
      </c>
      <c r="AX60" s="349"/>
      <c r="AY60" s="350">
        <f t="shared" ref="AY60:AY68" si="6">INT(AW60*$AT$3/100)</f>
        <v>-46</v>
      </c>
      <c r="AZ60" s="351"/>
      <c r="BA60" s="348">
        <f t="shared" ref="BA60:BA68" si="7">AG60</f>
        <v>-20</v>
      </c>
      <c r="BB60" s="349"/>
      <c r="BC60" s="350">
        <f t="shared" ref="BC60:BC68" si="8">INT(BA60*$AT$3/100)</f>
        <v>-220</v>
      </c>
      <c r="BD60" s="351"/>
      <c r="BE60" s="352">
        <f t="shared" ref="BE60:BE68" si="9">IF(ABS(AY60)&gt;ABS(BC60),BC60,AY60)</f>
        <v>-46</v>
      </c>
      <c r="BF60" s="353"/>
      <c r="BG60" s="324"/>
      <c r="BK60" s="343">
        <f t="shared" ref="BK60:BK68" si="10">MIN(BA60/2-AW60/2,BA60)</f>
        <v>-20</v>
      </c>
      <c r="BL60" s="230">
        <f t="shared" ref="BL60:BL68" si="11">AU60</f>
        <v>440</v>
      </c>
      <c r="BM60" s="230">
        <f>-BK68</f>
        <v>5.0101010101010104</v>
      </c>
      <c r="BN60" s="230">
        <f>BL68</f>
        <v>1280</v>
      </c>
      <c r="BP60" s="343">
        <f t="shared" ref="BP60:BP68" si="12">BA60/2-AW60/2</f>
        <v>-7.9390243902439028</v>
      </c>
      <c r="BQ60" s="230">
        <f t="shared" ref="BQ60:BQ68" si="13">AU60</f>
        <v>440</v>
      </c>
      <c r="BR60" s="230">
        <f>-BP68</f>
        <v>2.9696969696969697</v>
      </c>
      <c r="BS60" s="230">
        <f>BQ68</f>
        <v>1280</v>
      </c>
      <c r="BV60" s="230">
        <f t="shared" ref="BV60:BV68" si="14">AU60</f>
        <v>440</v>
      </c>
      <c r="BW60" s="343">
        <f t="shared" ref="BW60:BW68" si="15">AW60</f>
        <v>-4.1219512195121943</v>
      </c>
      <c r="BX60" s="343">
        <f t="shared" ref="BX60:BX68" si="16">BA60</f>
        <v>-20</v>
      </c>
      <c r="BY60" s="230">
        <f>-BV68</f>
        <v>-1280</v>
      </c>
      <c r="BZ60" s="343">
        <f>BW68</f>
        <v>0.92929292929292906</v>
      </c>
      <c r="CA60" s="343">
        <f>BX68</f>
        <v>-5.0101010101010104</v>
      </c>
      <c r="CF60" s="278">
        <v>-1.4700000000000002</v>
      </c>
      <c r="CG60" s="275">
        <v>8.75</v>
      </c>
    </row>
    <row r="61" spans="1:85" ht="18" customHeight="1" x14ac:dyDescent="0.2">
      <c r="A61" s="279"/>
      <c r="B61" s="280">
        <v>545</v>
      </c>
      <c r="C61" s="281">
        <v>403.51299999999998</v>
      </c>
      <c r="D61" s="282">
        <v>413.5428</v>
      </c>
      <c r="E61" s="283">
        <v>11.6479</v>
      </c>
      <c r="F61" s="284">
        <v>4.9459999999999997</v>
      </c>
      <c r="G61" s="285">
        <v>-0.32</v>
      </c>
      <c r="H61" s="286">
        <v>-0.57999999999999996</v>
      </c>
      <c r="I61" s="285">
        <v>3.16</v>
      </c>
      <c r="J61" s="286">
        <v>8.3800000000000008</v>
      </c>
      <c r="K61" s="286">
        <v>4.2</v>
      </c>
      <c r="L61" s="286">
        <v>7.8129032258064504</v>
      </c>
      <c r="M61" s="286">
        <v>-11.760000190734864</v>
      </c>
      <c r="N61" s="322"/>
      <c r="O61" s="262"/>
      <c r="P61" s="263"/>
      <c r="Q61" s="263"/>
      <c r="R61" s="276"/>
      <c r="S61" s="277"/>
      <c r="T61" s="277"/>
      <c r="U61" s="242"/>
      <c r="V61" s="262"/>
      <c r="W61" s="263"/>
      <c r="X61" s="263"/>
      <c r="AA61" s="354">
        <v>545</v>
      </c>
      <c r="AB61" s="355"/>
      <c r="AC61" s="346">
        <v>-2.4367816091953998</v>
      </c>
      <c r="AD61" s="347" t="str">
        <f t="shared" si="0"/>
        <v>-27 (MXUA)</v>
      </c>
      <c r="AE61" s="346">
        <v>-3.5862068965517224</v>
      </c>
      <c r="AF61" s="347" t="str">
        <f t="shared" si="1"/>
        <v>-40 (MXUA)</v>
      </c>
      <c r="AG61" s="346">
        <v>-20</v>
      </c>
      <c r="AH61" s="347" t="str">
        <f t="shared" si="2"/>
        <v>-220 (MXUA)</v>
      </c>
      <c r="AI61" s="346">
        <v>-20</v>
      </c>
      <c r="AJ61" s="347" t="str">
        <f t="shared" si="3"/>
        <v>-220 (MXUA)</v>
      </c>
      <c r="AK61" s="324"/>
      <c r="AM61" s="221" t="s">
        <v>97</v>
      </c>
      <c r="AN61" s="221"/>
      <c r="AO61" s="221" t="s">
        <v>97</v>
      </c>
      <c r="AP61" s="221"/>
      <c r="AQ61" s="221" t="s">
        <v>97</v>
      </c>
      <c r="AR61" s="221"/>
      <c r="AS61" s="221" t="s">
        <v>97</v>
      </c>
      <c r="AT61" s="221"/>
      <c r="AU61" s="354">
        <f t="shared" si="4"/>
        <v>545</v>
      </c>
      <c r="AV61" s="355"/>
      <c r="AW61" s="356">
        <f t="shared" si="5"/>
        <v>-2.4367816091953998</v>
      </c>
      <c r="AX61" s="357"/>
      <c r="AY61" s="358">
        <f t="shared" si="6"/>
        <v>-27</v>
      </c>
      <c r="AZ61" s="359"/>
      <c r="BA61" s="356">
        <f t="shared" si="7"/>
        <v>-20</v>
      </c>
      <c r="BB61" s="357"/>
      <c r="BC61" s="358">
        <f t="shared" si="8"/>
        <v>-220</v>
      </c>
      <c r="BD61" s="359"/>
      <c r="BE61" s="360">
        <f t="shared" si="9"/>
        <v>-27</v>
      </c>
      <c r="BF61" s="361"/>
      <c r="BG61" s="324"/>
      <c r="BK61" s="343">
        <f t="shared" si="10"/>
        <v>-20</v>
      </c>
      <c r="BL61" s="230">
        <f t="shared" si="11"/>
        <v>545</v>
      </c>
      <c r="BM61" s="230">
        <f>-BK67</f>
        <v>5.2653061224489814</v>
      </c>
      <c r="BN61" s="230">
        <f>BL67</f>
        <v>1175</v>
      </c>
      <c r="BP61" s="343">
        <f t="shared" si="12"/>
        <v>-8.7816091954023001</v>
      </c>
      <c r="BQ61" s="230">
        <f t="shared" si="13"/>
        <v>545</v>
      </c>
      <c r="BR61" s="230">
        <f>-BP67</f>
        <v>3.0204081632653077</v>
      </c>
      <c r="BS61" s="230">
        <f>BQ67</f>
        <v>1175</v>
      </c>
      <c r="BV61" s="230">
        <f t="shared" si="14"/>
        <v>545</v>
      </c>
      <c r="BW61" s="343">
        <f t="shared" si="15"/>
        <v>-2.4367816091953998</v>
      </c>
      <c r="BX61" s="343">
        <f t="shared" si="16"/>
        <v>-20</v>
      </c>
      <c r="BY61" s="230">
        <f>-BV67</f>
        <v>-1175</v>
      </c>
      <c r="BZ61" s="343">
        <f>BW67</f>
        <v>0.77551020408163396</v>
      </c>
      <c r="CA61" s="343">
        <f>BX67</f>
        <v>-5.2653061224489814</v>
      </c>
      <c r="CF61" s="287">
        <v>-2.0700000000000003</v>
      </c>
      <c r="CG61" s="286">
        <v>8.39</v>
      </c>
    </row>
    <row r="62" spans="1:85" ht="18" customHeight="1" x14ac:dyDescent="0.2">
      <c r="A62" s="279"/>
      <c r="B62" s="280">
        <v>650</v>
      </c>
      <c r="C62" s="281">
        <v>508.51299999999998</v>
      </c>
      <c r="D62" s="282">
        <v>518.54279999999994</v>
      </c>
      <c r="E62" s="283">
        <v>7.2549399999999995</v>
      </c>
      <c r="F62" s="284">
        <v>3.8447999999999998</v>
      </c>
      <c r="G62" s="285">
        <v>-0.06</v>
      </c>
      <c r="H62" s="286">
        <v>-0.36</v>
      </c>
      <c r="I62" s="285">
        <v>2.84</v>
      </c>
      <c r="J62" s="286">
        <v>8.15</v>
      </c>
      <c r="K62" s="286">
        <v>4.875</v>
      </c>
      <c r="L62" s="286">
        <v>7.7010752688172044</v>
      </c>
      <c r="M62" s="286">
        <v>-11.490000190734863</v>
      </c>
      <c r="N62" s="322"/>
      <c r="O62" s="262"/>
      <c r="P62" s="263"/>
      <c r="Q62" s="263"/>
      <c r="R62" s="276"/>
      <c r="S62" s="277"/>
      <c r="T62" s="277"/>
      <c r="U62" s="242"/>
      <c r="V62" s="262"/>
      <c r="W62" s="263"/>
      <c r="X62" s="263"/>
      <c r="AA62" s="354">
        <v>650</v>
      </c>
      <c r="AB62" s="355"/>
      <c r="AC62" s="346">
        <v>-1.3777777777777782</v>
      </c>
      <c r="AD62" s="347" t="str">
        <f t="shared" si="0"/>
        <v>-16 (MXUA)</v>
      </c>
      <c r="AE62" s="346">
        <v>-2.4888888888888907</v>
      </c>
      <c r="AF62" s="347" t="str">
        <f t="shared" si="1"/>
        <v>-28 (MXUA)</v>
      </c>
      <c r="AG62" s="346">
        <v>-7.1868131868131844</v>
      </c>
      <c r="AH62" s="347" t="str">
        <f t="shared" si="2"/>
        <v>-79 (MXUA)</v>
      </c>
      <c r="AI62" s="346">
        <v>-6.087912087912084</v>
      </c>
      <c r="AJ62" s="347" t="str">
        <f t="shared" si="3"/>
        <v>-67 (MXUA)</v>
      </c>
      <c r="AK62" s="324"/>
      <c r="AM62" s="221" t="s">
        <v>97</v>
      </c>
      <c r="AN62" s="221"/>
      <c r="AO62" s="221" t="s">
        <v>97</v>
      </c>
      <c r="AP62" s="221"/>
      <c r="AQ62" s="221" t="s">
        <v>97</v>
      </c>
      <c r="AR62" s="221"/>
      <c r="AS62" s="221" t="s">
        <v>97</v>
      </c>
      <c r="AT62" s="221"/>
      <c r="AU62" s="354">
        <f t="shared" si="4"/>
        <v>650</v>
      </c>
      <c r="AV62" s="355"/>
      <c r="AW62" s="356">
        <f t="shared" si="5"/>
        <v>-1.3777777777777782</v>
      </c>
      <c r="AX62" s="357"/>
      <c r="AY62" s="358">
        <f t="shared" si="6"/>
        <v>-16</v>
      </c>
      <c r="AZ62" s="359"/>
      <c r="BA62" s="356">
        <f t="shared" si="7"/>
        <v>-7.1868131868131844</v>
      </c>
      <c r="BB62" s="357"/>
      <c r="BC62" s="358">
        <f t="shared" si="8"/>
        <v>-79</v>
      </c>
      <c r="BD62" s="359"/>
      <c r="BE62" s="360">
        <f t="shared" si="9"/>
        <v>-16</v>
      </c>
      <c r="BF62" s="361"/>
      <c r="BG62" s="324"/>
      <c r="BK62" s="343">
        <f t="shared" si="10"/>
        <v>-7.1868131868131844</v>
      </c>
      <c r="BL62" s="230">
        <f t="shared" si="11"/>
        <v>650</v>
      </c>
      <c r="BM62" s="230">
        <f>-BK66</f>
        <v>5.5051546391752559</v>
      </c>
      <c r="BN62" s="230">
        <f>BL66</f>
        <v>1070</v>
      </c>
      <c r="BP62" s="343">
        <f t="shared" si="12"/>
        <v>-2.9045177045177031</v>
      </c>
      <c r="BQ62" s="230">
        <f t="shared" si="13"/>
        <v>650</v>
      </c>
      <c r="BR62" s="230">
        <f>-BP66</f>
        <v>3.0309278350515445</v>
      </c>
      <c r="BS62" s="230">
        <f>BQ66</f>
        <v>1070</v>
      </c>
      <c r="BV62" s="230">
        <f t="shared" si="14"/>
        <v>650</v>
      </c>
      <c r="BW62" s="343">
        <f t="shared" si="15"/>
        <v>-1.3777777777777782</v>
      </c>
      <c r="BX62" s="343">
        <f t="shared" si="16"/>
        <v>-7.1868131868131844</v>
      </c>
      <c r="BY62" s="230">
        <f>-BV66</f>
        <v>-1070</v>
      </c>
      <c r="BZ62" s="343">
        <f>BW66</f>
        <v>0.55670103092783307</v>
      </c>
      <c r="CA62" s="343">
        <f>BX66</f>
        <v>-5.5051546391752559</v>
      </c>
      <c r="CF62" s="287">
        <v>-2.4699999999999998</v>
      </c>
      <c r="CG62" s="286">
        <v>8.1499999999999986</v>
      </c>
    </row>
    <row r="63" spans="1:85" ht="18" customHeight="1" x14ac:dyDescent="0.2">
      <c r="A63" s="279"/>
      <c r="B63" s="280">
        <v>755</v>
      </c>
      <c r="C63" s="281">
        <v>613.51300000000003</v>
      </c>
      <c r="D63" s="282">
        <v>623.54279999999994</v>
      </c>
      <c r="E63" s="283">
        <v>9.0372699999999995</v>
      </c>
      <c r="F63" s="284">
        <v>5.4037999999999995</v>
      </c>
      <c r="G63" s="285">
        <v>0.12</v>
      </c>
      <c r="H63" s="286">
        <v>0.45</v>
      </c>
      <c r="I63" s="285">
        <v>2.6</v>
      </c>
      <c r="J63" s="286">
        <v>7.98</v>
      </c>
      <c r="K63" s="286">
        <v>5.5570000000000004</v>
      </c>
      <c r="L63" s="286">
        <v>7.5806451612903221</v>
      </c>
      <c r="M63" s="286">
        <v>-11.270000190734864</v>
      </c>
      <c r="N63" s="322"/>
      <c r="O63" s="262"/>
      <c r="P63" s="263"/>
      <c r="Q63" s="263"/>
      <c r="R63" s="276"/>
      <c r="S63" s="277"/>
      <c r="T63" s="277"/>
      <c r="U63" s="242"/>
      <c r="V63" s="262"/>
      <c r="W63" s="263"/>
      <c r="X63" s="263"/>
      <c r="AA63" s="354">
        <v>755</v>
      </c>
      <c r="AB63" s="355"/>
      <c r="AC63" s="346">
        <v>-0.64516129032258007</v>
      </c>
      <c r="AD63" s="347" t="str">
        <f t="shared" si="0"/>
        <v>-8 (MXUA)</v>
      </c>
      <c r="AE63" s="346">
        <v>-1.720430107526882</v>
      </c>
      <c r="AF63" s="347" t="str">
        <f t="shared" si="1"/>
        <v>-19 (MXUA)</v>
      </c>
      <c r="AG63" s="346">
        <v>-6.6021505376344081</v>
      </c>
      <c r="AH63" s="347" t="str">
        <f t="shared" si="2"/>
        <v>-73 (MXUA)</v>
      </c>
      <c r="AI63" s="346">
        <v>-5.5268817204301062</v>
      </c>
      <c r="AJ63" s="347" t="str">
        <f t="shared" si="3"/>
        <v>-61 (MXUA)</v>
      </c>
      <c r="AK63" s="324"/>
      <c r="AM63" s="221" t="s">
        <v>97</v>
      </c>
      <c r="AN63" s="221"/>
      <c r="AO63" s="221" t="s">
        <v>97</v>
      </c>
      <c r="AP63" s="221"/>
      <c r="AQ63" s="221" t="s">
        <v>97</v>
      </c>
      <c r="AR63" s="221"/>
      <c r="AS63" s="221" t="s">
        <v>97</v>
      </c>
      <c r="AT63" s="221"/>
      <c r="AU63" s="354">
        <f t="shared" si="4"/>
        <v>755</v>
      </c>
      <c r="AV63" s="355"/>
      <c r="AW63" s="356">
        <f t="shared" si="5"/>
        <v>-0.64516129032258007</v>
      </c>
      <c r="AX63" s="357"/>
      <c r="AY63" s="358">
        <f t="shared" si="6"/>
        <v>-8</v>
      </c>
      <c r="AZ63" s="359"/>
      <c r="BA63" s="356">
        <f t="shared" si="7"/>
        <v>-6.6021505376344081</v>
      </c>
      <c r="BB63" s="357"/>
      <c r="BC63" s="358">
        <f t="shared" si="8"/>
        <v>-73</v>
      </c>
      <c r="BD63" s="359"/>
      <c r="BE63" s="360">
        <f t="shared" si="9"/>
        <v>-8</v>
      </c>
      <c r="BF63" s="361"/>
      <c r="BG63" s="324"/>
      <c r="BK63" s="343">
        <f t="shared" si="10"/>
        <v>-6.6021505376344081</v>
      </c>
      <c r="BL63" s="230">
        <f t="shared" si="11"/>
        <v>755</v>
      </c>
      <c r="BM63" s="230">
        <f>-BK65</f>
        <v>5.8125000000000018</v>
      </c>
      <c r="BN63" s="230">
        <f>BL65</f>
        <v>965</v>
      </c>
      <c r="BP63" s="343">
        <f t="shared" si="12"/>
        <v>-2.978494623655914</v>
      </c>
      <c r="BQ63" s="230">
        <f t="shared" si="13"/>
        <v>755</v>
      </c>
      <c r="BR63" s="230">
        <f>-BP65</f>
        <v>3.0416666666666679</v>
      </c>
      <c r="BS63" s="230">
        <f>BQ65</f>
        <v>965</v>
      </c>
      <c r="BV63" s="230">
        <f t="shared" si="14"/>
        <v>755</v>
      </c>
      <c r="BW63" s="343">
        <f t="shared" si="15"/>
        <v>-0.64516129032258007</v>
      </c>
      <c r="BX63" s="343">
        <f t="shared" si="16"/>
        <v>-6.6021505376344081</v>
      </c>
      <c r="BY63" s="230">
        <f>-BV65</f>
        <v>-965</v>
      </c>
      <c r="BZ63" s="343">
        <f>BW65</f>
        <v>0.27083333333333393</v>
      </c>
      <c r="CA63" s="343">
        <f>BX65</f>
        <v>-5.8125000000000018</v>
      </c>
      <c r="CF63" s="287">
        <v>-2.78</v>
      </c>
      <c r="CG63" s="286">
        <v>7.98</v>
      </c>
    </row>
    <row r="64" spans="1:85" ht="18" customHeight="1" x14ac:dyDescent="0.2">
      <c r="A64" s="279"/>
      <c r="B64" s="280">
        <v>860</v>
      </c>
      <c r="C64" s="281">
        <v>718.51300000000003</v>
      </c>
      <c r="D64" s="282">
        <v>728.54280000000006</v>
      </c>
      <c r="E64" s="283">
        <v>12.195699999999999</v>
      </c>
      <c r="F64" s="284">
        <v>8.5615000000000006</v>
      </c>
      <c r="G64" s="285">
        <v>0.24</v>
      </c>
      <c r="H64" s="286">
        <v>0.61</v>
      </c>
      <c r="I64" s="285">
        <v>2.42</v>
      </c>
      <c r="J64" s="286">
        <v>7.85</v>
      </c>
      <c r="K64" s="286">
        <v>6.2430000000000003</v>
      </c>
      <c r="L64" s="286">
        <v>7.4505376344086018</v>
      </c>
      <c r="M64" s="286">
        <v>-11.080000190734863</v>
      </c>
      <c r="N64" s="322"/>
      <c r="O64" s="262"/>
      <c r="P64" s="263"/>
      <c r="Q64" s="263"/>
      <c r="R64" s="276"/>
      <c r="S64" s="277"/>
      <c r="T64" s="277"/>
      <c r="U64" s="242"/>
      <c r="V64" s="262"/>
      <c r="W64" s="263"/>
      <c r="X64" s="263"/>
      <c r="AA64" s="354">
        <v>860</v>
      </c>
      <c r="AB64" s="355"/>
      <c r="AC64" s="346">
        <v>-0.10638297872340452</v>
      </c>
      <c r="AD64" s="347" t="str">
        <f t="shared" si="0"/>
        <v>-2 (MXUA)</v>
      </c>
      <c r="AE64" s="346">
        <v>-1.1702127659574462</v>
      </c>
      <c r="AF64" s="347" t="str">
        <f t="shared" si="1"/>
        <v>-13 (MXUA)</v>
      </c>
      <c r="AG64" s="346">
        <v>-6.1684210526315777</v>
      </c>
      <c r="AH64" s="347" t="str">
        <f t="shared" si="2"/>
        <v>-68 (MXUA)</v>
      </c>
      <c r="AI64" s="346">
        <v>-5.1157894736842096</v>
      </c>
      <c r="AJ64" s="347" t="str">
        <f t="shared" si="3"/>
        <v>-57 (MXUA)</v>
      </c>
      <c r="AK64" s="324"/>
      <c r="AM64" s="221" t="s">
        <v>97</v>
      </c>
      <c r="AN64" s="221"/>
      <c r="AO64" s="221" t="s">
        <v>97</v>
      </c>
      <c r="AP64" s="221"/>
      <c r="AQ64" s="221" t="s">
        <v>97</v>
      </c>
      <c r="AR64" s="221"/>
      <c r="AS64" s="221" t="s">
        <v>97</v>
      </c>
      <c r="AT64" s="221"/>
      <c r="AU64" s="354">
        <f t="shared" si="4"/>
        <v>860</v>
      </c>
      <c r="AV64" s="355"/>
      <c r="AW64" s="356">
        <f t="shared" si="5"/>
        <v>-0.10638297872340452</v>
      </c>
      <c r="AX64" s="357"/>
      <c r="AY64" s="358">
        <f t="shared" si="6"/>
        <v>-2</v>
      </c>
      <c r="AZ64" s="359"/>
      <c r="BA64" s="356">
        <f t="shared" si="7"/>
        <v>-6.1684210526315777</v>
      </c>
      <c r="BB64" s="357"/>
      <c r="BC64" s="358">
        <f t="shared" si="8"/>
        <v>-68</v>
      </c>
      <c r="BD64" s="359"/>
      <c r="BE64" s="360">
        <f t="shared" si="9"/>
        <v>-2</v>
      </c>
      <c r="BF64" s="361"/>
      <c r="BG64" s="324"/>
      <c r="BK64" s="343">
        <f t="shared" si="10"/>
        <v>-6.1684210526315777</v>
      </c>
      <c r="BL64" s="230">
        <f t="shared" si="11"/>
        <v>860</v>
      </c>
      <c r="BM64" s="230">
        <f>-BK64</f>
        <v>6.1684210526315777</v>
      </c>
      <c r="BN64" s="230">
        <f>BL64</f>
        <v>860</v>
      </c>
      <c r="BP64" s="343">
        <f t="shared" si="12"/>
        <v>-3.0310190369540866</v>
      </c>
      <c r="BQ64" s="230">
        <f t="shared" si="13"/>
        <v>860</v>
      </c>
      <c r="BR64" s="230">
        <f>-BP64</f>
        <v>3.0310190369540866</v>
      </c>
      <c r="BS64" s="230">
        <f>BQ64</f>
        <v>860</v>
      </c>
      <c r="BV64" s="230">
        <f t="shared" si="14"/>
        <v>860</v>
      </c>
      <c r="BW64" s="343">
        <f t="shared" si="15"/>
        <v>-0.10638297872340452</v>
      </c>
      <c r="BX64" s="343">
        <f t="shared" si="16"/>
        <v>-6.1684210526315777</v>
      </c>
      <c r="BY64" s="230">
        <f>-BV64</f>
        <v>-860</v>
      </c>
      <c r="BZ64" s="343">
        <f>BW64</f>
        <v>-0.10638297872340452</v>
      </c>
      <c r="CA64" s="343">
        <f>BX64</f>
        <v>-6.1684210526315777</v>
      </c>
      <c r="CF64" s="287">
        <v>-3.01</v>
      </c>
      <c r="CG64" s="286">
        <v>7.85</v>
      </c>
    </row>
    <row r="65" spans="1:85" ht="18" customHeight="1" x14ac:dyDescent="0.2">
      <c r="A65" s="279"/>
      <c r="B65" s="280">
        <v>965</v>
      </c>
      <c r="C65" s="281">
        <v>823.51300000000003</v>
      </c>
      <c r="D65" s="282">
        <v>833.54280000000006</v>
      </c>
      <c r="E65" s="283">
        <v>14.6593</v>
      </c>
      <c r="F65" s="284">
        <v>11.801</v>
      </c>
      <c r="G65" s="285">
        <v>0.34</v>
      </c>
      <c r="H65" s="286">
        <v>0.73</v>
      </c>
      <c r="I65" s="285">
        <v>2.29</v>
      </c>
      <c r="J65" s="286">
        <v>7.74</v>
      </c>
      <c r="K65" s="286">
        <v>6.93</v>
      </c>
      <c r="L65" s="286">
        <v>7.3096774193548377</v>
      </c>
      <c r="M65" s="286">
        <v>-10.910000190734863</v>
      </c>
      <c r="N65" s="322"/>
      <c r="O65" s="262"/>
      <c r="P65" s="263"/>
      <c r="Q65" s="263"/>
      <c r="R65" s="276"/>
      <c r="S65" s="277"/>
      <c r="T65" s="277"/>
      <c r="U65" s="242"/>
      <c r="V65" s="262"/>
      <c r="W65" s="263"/>
      <c r="X65" s="263"/>
      <c r="AA65" s="354">
        <v>965</v>
      </c>
      <c r="AB65" s="355"/>
      <c r="AC65" s="346">
        <v>0.27083333333333393</v>
      </c>
      <c r="AD65" s="347" t="str">
        <f t="shared" si="0"/>
        <v>2 (MXUA)</v>
      </c>
      <c r="AE65" s="346">
        <v>-0.77083333333333215</v>
      </c>
      <c r="AF65" s="347" t="str">
        <f t="shared" si="1"/>
        <v>-9 (MXUA)</v>
      </c>
      <c r="AG65" s="346">
        <v>-5.8125000000000018</v>
      </c>
      <c r="AH65" s="347" t="str">
        <f t="shared" si="2"/>
        <v>-64 (MXUA)</v>
      </c>
      <c r="AI65" s="346">
        <v>-4.7708333333333357</v>
      </c>
      <c r="AJ65" s="347" t="str">
        <f t="shared" si="3"/>
        <v>-53 (MXUA)</v>
      </c>
      <c r="AK65" s="324"/>
      <c r="AM65" s="221" t="s">
        <v>97</v>
      </c>
      <c r="AN65" s="221"/>
      <c r="AO65" s="221" t="s">
        <v>97</v>
      </c>
      <c r="AP65" s="221"/>
      <c r="AQ65" s="221" t="s">
        <v>97</v>
      </c>
      <c r="AR65" s="221"/>
      <c r="AS65" s="221" t="s">
        <v>97</v>
      </c>
      <c r="AT65" s="221"/>
      <c r="AU65" s="354">
        <f t="shared" si="4"/>
        <v>965</v>
      </c>
      <c r="AV65" s="355"/>
      <c r="AW65" s="356">
        <f t="shared" si="5"/>
        <v>0.27083333333333393</v>
      </c>
      <c r="AX65" s="357"/>
      <c r="AY65" s="358">
        <f t="shared" si="6"/>
        <v>2</v>
      </c>
      <c r="AZ65" s="359"/>
      <c r="BA65" s="356">
        <f t="shared" si="7"/>
        <v>-5.8125000000000018</v>
      </c>
      <c r="BB65" s="357"/>
      <c r="BC65" s="358">
        <f t="shared" si="8"/>
        <v>-64</v>
      </c>
      <c r="BD65" s="359"/>
      <c r="BE65" s="360">
        <f t="shared" si="9"/>
        <v>2</v>
      </c>
      <c r="BF65" s="361"/>
      <c r="BG65" s="324"/>
      <c r="BK65" s="343">
        <f t="shared" si="10"/>
        <v>-5.8125000000000018</v>
      </c>
      <c r="BL65" s="230">
        <f t="shared" si="11"/>
        <v>965</v>
      </c>
      <c r="BM65" s="230">
        <f>-BK63</f>
        <v>6.6021505376344081</v>
      </c>
      <c r="BN65" s="230">
        <f>BL63</f>
        <v>755</v>
      </c>
      <c r="BP65" s="343">
        <f t="shared" si="12"/>
        <v>-3.0416666666666679</v>
      </c>
      <c r="BQ65" s="230">
        <f t="shared" si="13"/>
        <v>965</v>
      </c>
      <c r="BR65" s="230">
        <f>-BP63</f>
        <v>2.978494623655914</v>
      </c>
      <c r="BS65" s="230">
        <f>BQ63</f>
        <v>755</v>
      </c>
      <c r="BV65" s="230">
        <f t="shared" si="14"/>
        <v>965</v>
      </c>
      <c r="BW65" s="343">
        <f t="shared" si="15"/>
        <v>0.27083333333333393</v>
      </c>
      <c r="BX65" s="343">
        <f t="shared" si="16"/>
        <v>-5.8125000000000018</v>
      </c>
      <c r="BY65" s="230">
        <f>-BV63</f>
        <v>-755</v>
      </c>
      <c r="BZ65" s="343">
        <f>BW63</f>
        <v>-0.64516129032258007</v>
      </c>
      <c r="CA65" s="343">
        <f>BX63</f>
        <v>-6.6021505376344081</v>
      </c>
      <c r="CF65" s="287">
        <v>-3.17</v>
      </c>
      <c r="CG65" s="286">
        <v>7.75</v>
      </c>
    </row>
    <row r="66" spans="1:85" ht="18" customHeight="1" x14ac:dyDescent="0.2">
      <c r="A66" s="279"/>
      <c r="B66" s="280">
        <v>1070</v>
      </c>
      <c r="C66" s="281">
        <v>928.51300000000003</v>
      </c>
      <c r="D66" s="282">
        <v>938.54280000000006</v>
      </c>
      <c r="E66" s="283">
        <v>16.633600000000001</v>
      </c>
      <c r="F66" s="284">
        <v>15.106</v>
      </c>
      <c r="G66" s="285">
        <v>0.42</v>
      </c>
      <c r="H66" s="286">
        <v>0.83</v>
      </c>
      <c r="I66" s="285">
        <v>2.17</v>
      </c>
      <c r="J66" s="286">
        <v>7.65</v>
      </c>
      <c r="K66" s="286">
        <v>7.6180000000000003</v>
      </c>
      <c r="L66" s="286">
        <v>7.1634408602150534</v>
      </c>
      <c r="M66" s="286">
        <v>-10.740000190734863</v>
      </c>
      <c r="N66" s="322"/>
      <c r="O66" s="262"/>
      <c r="P66" s="263"/>
      <c r="Q66" s="263"/>
      <c r="R66" s="276"/>
      <c r="S66" s="277"/>
      <c r="T66" s="277"/>
      <c r="U66" s="242"/>
      <c r="V66" s="262"/>
      <c r="W66" s="263"/>
      <c r="X66" s="263"/>
      <c r="AA66" s="354">
        <v>1070</v>
      </c>
      <c r="AB66" s="355"/>
      <c r="AC66" s="346">
        <v>0.55670103092783307</v>
      </c>
      <c r="AD66" s="347" t="str">
        <f t="shared" si="0"/>
        <v>6 (MXUA)</v>
      </c>
      <c r="AE66" s="346">
        <v>-0.47422680412371321</v>
      </c>
      <c r="AF66" s="347" t="str">
        <f t="shared" si="1"/>
        <v>-6 (MXUA)</v>
      </c>
      <c r="AG66" s="346">
        <v>-5.5051546391752559</v>
      </c>
      <c r="AH66" s="347" t="str">
        <f t="shared" si="2"/>
        <v>-61 (MXUA)</v>
      </c>
      <c r="AI66" s="346">
        <v>-4.4742268041237097</v>
      </c>
      <c r="AJ66" s="347" t="str">
        <f t="shared" si="3"/>
        <v>-50 (MXUA)</v>
      </c>
      <c r="AK66" s="324"/>
      <c r="AM66" s="221" t="s">
        <v>97</v>
      </c>
      <c r="AN66" s="221"/>
      <c r="AO66" s="221" t="s">
        <v>97</v>
      </c>
      <c r="AP66" s="221"/>
      <c r="AQ66" s="221" t="s">
        <v>97</v>
      </c>
      <c r="AR66" s="221"/>
      <c r="AS66" s="221" t="s">
        <v>97</v>
      </c>
      <c r="AT66" s="221"/>
      <c r="AU66" s="354">
        <f t="shared" si="4"/>
        <v>1070</v>
      </c>
      <c r="AV66" s="355"/>
      <c r="AW66" s="356">
        <f t="shared" si="5"/>
        <v>0.55670103092783307</v>
      </c>
      <c r="AX66" s="357"/>
      <c r="AY66" s="358">
        <f t="shared" si="6"/>
        <v>6</v>
      </c>
      <c r="AZ66" s="359"/>
      <c r="BA66" s="356">
        <f t="shared" si="7"/>
        <v>-5.5051546391752559</v>
      </c>
      <c r="BB66" s="357"/>
      <c r="BC66" s="358">
        <f t="shared" si="8"/>
        <v>-61</v>
      </c>
      <c r="BD66" s="359"/>
      <c r="BE66" s="360">
        <f t="shared" si="9"/>
        <v>6</v>
      </c>
      <c r="BF66" s="361"/>
      <c r="BG66" s="324"/>
      <c r="BK66" s="343">
        <f t="shared" si="10"/>
        <v>-5.5051546391752559</v>
      </c>
      <c r="BL66" s="230">
        <f t="shared" si="11"/>
        <v>1070</v>
      </c>
      <c r="BM66" s="230">
        <f>-BK62</f>
        <v>7.1868131868131844</v>
      </c>
      <c r="BN66" s="230">
        <f>BL62</f>
        <v>650</v>
      </c>
      <c r="BP66" s="343">
        <f t="shared" si="12"/>
        <v>-3.0309278350515445</v>
      </c>
      <c r="BQ66" s="230">
        <f t="shared" si="13"/>
        <v>1070</v>
      </c>
      <c r="BR66" s="230">
        <f>-BP62</f>
        <v>2.9045177045177031</v>
      </c>
      <c r="BS66" s="230">
        <f>BQ62</f>
        <v>650</v>
      </c>
      <c r="BV66" s="230">
        <f t="shared" si="14"/>
        <v>1070</v>
      </c>
      <c r="BW66" s="343">
        <f t="shared" si="15"/>
        <v>0.55670103092783307</v>
      </c>
      <c r="BX66" s="343">
        <f t="shared" si="16"/>
        <v>-5.5051546391752559</v>
      </c>
      <c r="BY66" s="230">
        <f>-BV62</f>
        <v>-650</v>
      </c>
      <c r="BZ66" s="343">
        <f>BW62</f>
        <v>-1.3777777777777782</v>
      </c>
      <c r="CA66" s="343">
        <f>BX62</f>
        <v>-7.1868131868131844</v>
      </c>
      <c r="CF66" s="287">
        <v>-3.3</v>
      </c>
      <c r="CG66" s="286">
        <v>7.64</v>
      </c>
    </row>
    <row r="67" spans="1:85" ht="18" customHeight="1" x14ac:dyDescent="0.2">
      <c r="A67" s="362"/>
      <c r="B67" s="280">
        <v>1175</v>
      </c>
      <c r="C67" s="281">
        <v>1033.5129999999999</v>
      </c>
      <c r="D67" s="282">
        <v>1043.5429999999999</v>
      </c>
      <c r="E67" s="363">
        <v>18.242799999999999</v>
      </c>
      <c r="F67" s="364">
        <v>18.454999999999998</v>
      </c>
      <c r="G67" s="365">
        <v>0.48</v>
      </c>
      <c r="H67" s="366">
        <v>0.91</v>
      </c>
      <c r="I67" s="365">
        <v>2.08</v>
      </c>
      <c r="J67" s="366">
        <v>7.56</v>
      </c>
      <c r="K67" s="286">
        <v>8.3070000000000004</v>
      </c>
      <c r="L67" s="286">
        <v>7.0139784946236556</v>
      </c>
      <c r="M67" s="286">
        <v>-10.580000190734863</v>
      </c>
      <c r="N67" s="322"/>
      <c r="O67" s="262"/>
      <c r="P67" s="263"/>
      <c r="Q67" s="263"/>
      <c r="R67" s="276"/>
      <c r="S67" s="277"/>
      <c r="T67" s="277"/>
      <c r="U67" s="242"/>
      <c r="V67" s="262"/>
      <c r="W67" s="263"/>
      <c r="X67" s="263"/>
      <c r="AA67" s="354">
        <v>1175</v>
      </c>
      <c r="AB67" s="355"/>
      <c r="AC67" s="346">
        <v>0.77551020408163396</v>
      </c>
      <c r="AD67" s="347" t="str">
        <f t="shared" si="0"/>
        <v>8 (MXUA)</v>
      </c>
      <c r="AE67" s="346">
        <v>-0.24489795918367108</v>
      </c>
      <c r="AF67" s="347" t="str">
        <f t="shared" si="1"/>
        <v>-3 (MXUA)</v>
      </c>
      <c r="AG67" s="346">
        <v>-5.2653061224489814</v>
      </c>
      <c r="AH67" s="347" t="str">
        <f t="shared" si="2"/>
        <v>-58 (MXUA)</v>
      </c>
      <c r="AI67" s="346">
        <v>-4.2448979591836746</v>
      </c>
      <c r="AJ67" s="347" t="str">
        <f t="shared" si="3"/>
        <v>-47 (MXUA)</v>
      </c>
      <c r="AK67" s="324"/>
      <c r="AM67" s="221" t="s">
        <v>97</v>
      </c>
      <c r="AN67" s="221"/>
      <c r="AO67" s="221" t="s">
        <v>97</v>
      </c>
      <c r="AP67" s="221"/>
      <c r="AQ67" s="221" t="s">
        <v>97</v>
      </c>
      <c r="AR67" s="221"/>
      <c r="AS67" s="221" t="s">
        <v>97</v>
      </c>
      <c r="AT67" s="221"/>
      <c r="AU67" s="354">
        <f t="shared" si="4"/>
        <v>1175</v>
      </c>
      <c r="AV67" s="355"/>
      <c r="AW67" s="356">
        <f t="shared" si="5"/>
        <v>0.77551020408163396</v>
      </c>
      <c r="AX67" s="357"/>
      <c r="AY67" s="358">
        <f t="shared" si="6"/>
        <v>8</v>
      </c>
      <c r="AZ67" s="359"/>
      <c r="BA67" s="356">
        <f t="shared" si="7"/>
        <v>-5.2653061224489814</v>
      </c>
      <c r="BB67" s="357"/>
      <c r="BC67" s="358">
        <f t="shared" si="8"/>
        <v>-58</v>
      </c>
      <c r="BD67" s="359"/>
      <c r="BE67" s="360">
        <f t="shared" si="9"/>
        <v>8</v>
      </c>
      <c r="BF67" s="361"/>
      <c r="BG67" s="324"/>
      <c r="BK67" s="343">
        <f t="shared" si="10"/>
        <v>-5.2653061224489814</v>
      </c>
      <c r="BL67" s="230">
        <f t="shared" si="11"/>
        <v>1175</v>
      </c>
      <c r="BM67" s="230">
        <f>-BK61</f>
        <v>20</v>
      </c>
      <c r="BN67" s="230">
        <f>BL61</f>
        <v>545</v>
      </c>
      <c r="BP67" s="343">
        <f t="shared" si="12"/>
        <v>-3.0204081632653077</v>
      </c>
      <c r="BQ67" s="230">
        <f t="shared" si="13"/>
        <v>1175</v>
      </c>
      <c r="BR67" s="230">
        <f>-BP61</f>
        <v>8.7816091954023001</v>
      </c>
      <c r="BS67" s="230">
        <f>BQ61</f>
        <v>545</v>
      </c>
      <c r="BV67" s="230">
        <f t="shared" si="14"/>
        <v>1175</v>
      </c>
      <c r="BW67" s="343">
        <f t="shared" si="15"/>
        <v>0.77551020408163396</v>
      </c>
      <c r="BX67" s="343">
        <f t="shared" si="16"/>
        <v>-5.2653061224489814</v>
      </c>
      <c r="BY67" s="230">
        <f>-BV61</f>
        <v>-545</v>
      </c>
      <c r="BZ67" s="343">
        <f>BW61</f>
        <v>-2.4367816091953998</v>
      </c>
      <c r="CA67" s="343">
        <f>BX61</f>
        <v>-20</v>
      </c>
      <c r="CF67" s="287">
        <v>-3.4000000000000004</v>
      </c>
      <c r="CG67" s="286">
        <v>7.5600000000000005</v>
      </c>
    </row>
    <row r="68" spans="1:85" ht="18" customHeight="1" thickBot="1" x14ac:dyDescent="0.25">
      <c r="A68" s="367"/>
      <c r="B68" s="292">
        <v>1280</v>
      </c>
      <c r="C68" s="368">
        <v>1138.5129999999999</v>
      </c>
      <c r="D68" s="369">
        <v>1148.5429999999999</v>
      </c>
      <c r="E68" s="370">
        <v>19.567599999999999</v>
      </c>
      <c r="F68" s="371">
        <v>21.832000000000001</v>
      </c>
      <c r="G68" s="372">
        <v>0.53</v>
      </c>
      <c r="H68" s="373">
        <v>0.98</v>
      </c>
      <c r="I68" s="372">
        <v>2</v>
      </c>
      <c r="J68" s="373">
        <v>7.48</v>
      </c>
      <c r="K68" s="298">
        <v>8.9960000000000004</v>
      </c>
      <c r="L68" s="298">
        <v>6.8634408602150536</v>
      </c>
      <c r="M68" s="298">
        <v>-10.420000190734862</v>
      </c>
      <c r="N68" s="322"/>
      <c r="O68" s="262"/>
      <c r="P68" s="263"/>
      <c r="Q68" s="263"/>
      <c r="R68" s="276"/>
      <c r="S68" s="277"/>
      <c r="T68" s="277"/>
      <c r="U68" s="242"/>
      <c r="V68" s="262"/>
      <c r="W68" s="263"/>
      <c r="X68" s="263"/>
      <c r="AA68" s="374">
        <v>1280</v>
      </c>
      <c r="AB68" s="375"/>
      <c r="AC68" s="376">
        <v>0.92929292929292906</v>
      </c>
      <c r="AD68" s="377" t="str">
        <f t="shared" si="0"/>
        <v>10 (MXUA)</v>
      </c>
      <c r="AE68" s="376">
        <v>-8.0808080808081328E-2</v>
      </c>
      <c r="AF68" s="377" t="str">
        <f t="shared" si="1"/>
        <v>-1 (MXUA)</v>
      </c>
      <c r="AG68" s="376">
        <v>-5.0101010101010104</v>
      </c>
      <c r="AH68" s="377" t="str">
        <f t="shared" si="2"/>
        <v>-56 (MXUA)</v>
      </c>
      <c r="AI68" s="376">
        <v>-4</v>
      </c>
      <c r="AJ68" s="377" t="str">
        <f t="shared" si="3"/>
        <v>-44 (MXUA)</v>
      </c>
      <c r="AK68" s="324"/>
      <c r="AM68" s="221" t="s">
        <v>97</v>
      </c>
      <c r="AN68" s="221"/>
      <c r="AO68" s="221" t="s">
        <v>97</v>
      </c>
      <c r="AP68" s="221"/>
      <c r="AQ68" s="221" t="s">
        <v>97</v>
      </c>
      <c r="AR68" s="221"/>
      <c r="AS68" s="221" t="s">
        <v>97</v>
      </c>
      <c r="AT68" s="221"/>
      <c r="AU68" s="374">
        <f t="shared" si="4"/>
        <v>1280</v>
      </c>
      <c r="AV68" s="375"/>
      <c r="AW68" s="378">
        <f t="shared" si="5"/>
        <v>0.92929292929292906</v>
      </c>
      <c r="AX68" s="379"/>
      <c r="AY68" s="380">
        <f t="shared" si="6"/>
        <v>10</v>
      </c>
      <c r="AZ68" s="381"/>
      <c r="BA68" s="378">
        <f t="shared" si="7"/>
        <v>-5.0101010101010104</v>
      </c>
      <c r="BB68" s="379"/>
      <c r="BC68" s="380">
        <f t="shared" si="8"/>
        <v>-56</v>
      </c>
      <c r="BD68" s="381"/>
      <c r="BE68" s="382">
        <f t="shared" si="9"/>
        <v>10</v>
      </c>
      <c r="BF68" s="383"/>
      <c r="BG68" s="324"/>
      <c r="BK68" s="343">
        <f t="shared" si="10"/>
        <v>-5.0101010101010104</v>
      </c>
      <c r="BL68" s="230">
        <f t="shared" si="11"/>
        <v>1280</v>
      </c>
      <c r="BM68" s="230">
        <f>-BK60</f>
        <v>20</v>
      </c>
      <c r="BN68" s="230">
        <f>BL60</f>
        <v>440</v>
      </c>
      <c r="BP68" s="343">
        <f t="shared" si="12"/>
        <v>-2.9696969696969697</v>
      </c>
      <c r="BQ68" s="230">
        <f t="shared" si="13"/>
        <v>1280</v>
      </c>
      <c r="BR68" s="230">
        <f>-BP60</f>
        <v>7.9390243902439028</v>
      </c>
      <c r="BS68" s="230">
        <f>BQ60</f>
        <v>440</v>
      </c>
      <c r="BV68" s="230">
        <f t="shared" si="14"/>
        <v>1280</v>
      </c>
      <c r="BW68" s="343">
        <f t="shared" si="15"/>
        <v>0.92929292929292906</v>
      </c>
      <c r="BX68" s="343">
        <f t="shared" si="16"/>
        <v>-5.0101010101010104</v>
      </c>
      <c r="BY68" s="230">
        <f>-BV60</f>
        <v>-440</v>
      </c>
      <c r="BZ68" s="343">
        <f>BW60</f>
        <v>-4.1219512195121943</v>
      </c>
      <c r="CA68" s="343">
        <f>BX60</f>
        <v>-20</v>
      </c>
      <c r="CF68" s="299">
        <v>-3.4699999999999998</v>
      </c>
      <c r="CG68" s="298">
        <v>7.47</v>
      </c>
    </row>
    <row r="69" spans="1:85" ht="18" customHeight="1" x14ac:dyDescent="0.2">
      <c r="A69" s="268">
        <v>4</v>
      </c>
      <c r="B69" s="269">
        <v>440</v>
      </c>
      <c r="C69" s="270">
        <v>298.51299999999998</v>
      </c>
      <c r="D69" s="271">
        <v>308.5428</v>
      </c>
      <c r="E69" s="272">
        <v>12.6332</v>
      </c>
      <c r="F69" s="273">
        <v>3.7818000000000001</v>
      </c>
      <c r="G69" s="274">
        <v>0.42</v>
      </c>
      <c r="H69" s="275">
        <v>0.63</v>
      </c>
      <c r="I69" s="274">
        <v>4.47</v>
      </c>
      <c r="J69" s="275">
        <v>9.58</v>
      </c>
      <c r="K69" s="275">
        <v>3.6059999999999999</v>
      </c>
      <c r="L69" s="275">
        <v>7.913978494623656</v>
      </c>
      <c r="M69" s="275">
        <v>-13.010000190734864</v>
      </c>
      <c r="N69" s="322"/>
      <c r="O69" s="262"/>
      <c r="P69" s="263"/>
      <c r="Q69" s="263"/>
      <c r="R69" s="276"/>
      <c r="S69" s="277"/>
      <c r="T69" s="277"/>
      <c r="U69" s="242"/>
      <c r="V69" s="262"/>
      <c r="W69" s="263"/>
      <c r="X69" s="263"/>
      <c r="AA69" s="384"/>
      <c r="AB69" s="384"/>
      <c r="AC69" s="384"/>
      <c r="AD69" s="384"/>
      <c r="AE69" s="384"/>
      <c r="AF69" s="384"/>
      <c r="AG69" s="384"/>
      <c r="AH69" s="385"/>
      <c r="AI69" s="384"/>
      <c r="AJ69" s="323"/>
      <c r="AK69" s="324"/>
      <c r="AU69" s="384"/>
      <c r="AV69" s="384"/>
      <c r="AW69" s="384"/>
      <c r="AX69" s="384"/>
      <c r="AY69" s="384"/>
      <c r="AZ69" s="384"/>
      <c r="BA69" s="384"/>
      <c r="BB69" s="385"/>
      <c r="BC69" s="385"/>
      <c r="BD69" s="385"/>
      <c r="BE69" s="384"/>
      <c r="BF69" s="323"/>
      <c r="BG69" s="324"/>
      <c r="BJ69" s="247">
        <v>1</v>
      </c>
      <c r="BK69" s="343">
        <f>BK68+(BK68-BK67)*BJ69</f>
        <v>-4.7548958977530393</v>
      </c>
      <c r="BL69" s="343">
        <f>BL68+(BL68-BL67)*BJ69</f>
        <v>1385</v>
      </c>
      <c r="BM69" s="343">
        <f>BM68+(BM68-BM67)*BJ59</f>
        <v>20</v>
      </c>
      <c r="BN69" s="343">
        <f>BN68+(BN68-BN67)*BJ59</f>
        <v>335</v>
      </c>
      <c r="BO69" s="247">
        <v>1</v>
      </c>
      <c r="BP69" s="343">
        <f>BP68+(BP68-BP67)*BO69</f>
        <v>-2.9189857761286317</v>
      </c>
      <c r="BQ69" s="343">
        <f>BQ68+(BQ68-BQ67)*BO69</f>
        <v>1385</v>
      </c>
      <c r="BR69" s="343">
        <f>BR68+(BR68-BR67)*BO59</f>
        <v>7.0964395850855055</v>
      </c>
      <c r="BS69" s="343">
        <f>BS68+(BS68-BS67)*BO59</f>
        <v>335</v>
      </c>
      <c r="CF69" s="278">
        <v>-0.64000000000000057</v>
      </c>
      <c r="CG69" s="275">
        <v>9.58</v>
      </c>
    </row>
    <row r="70" spans="1:85" ht="18" customHeight="1" x14ac:dyDescent="0.2">
      <c r="A70" s="279"/>
      <c r="B70" s="280">
        <v>545</v>
      </c>
      <c r="C70" s="281">
        <v>403.51299999999998</v>
      </c>
      <c r="D70" s="282">
        <v>413.5428</v>
      </c>
      <c r="E70" s="283">
        <v>21.5441</v>
      </c>
      <c r="F70" s="284">
        <v>8.6936</v>
      </c>
      <c r="G70" s="285">
        <v>0.82</v>
      </c>
      <c r="H70" s="286">
        <v>1.08</v>
      </c>
      <c r="I70" s="285">
        <v>4.03</v>
      </c>
      <c r="J70" s="286">
        <v>9.26</v>
      </c>
      <c r="K70" s="286">
        <v>4.274</v>
      </c>
      <c r="L70" s="286">
        <v>7.8129032258064504</v>
      </c>
      <c r="M70" s="286">
        <v>-12.630000190734863</v>
      </c>
      <c r="N70" s="322"/>
      <c r="O70" s="262"/>
      <c r="P70" s="263"/>
      <c r="Q70" s="263"/>
      <c r="R70" s="276"/>
      <c r="S70" s="277"/>
      <c r="T70" s="277"/>
      <c r="U70" s="242"/>
      <c r="V70" s="262"/>
      <c r="W70" s="263"/>
      <c r="X70" s="263"/>
      <c r="AA70" s="384"/>
      <c r="AB70" s="384"/>
      <c r="AC70" s="384"/>
      <c r="AD70" s="384"/>
      <c r="AE70" s="384"/>
      <c r="AF70" s="384"/>
      <c r="AG70" s="384"/>
      <c r="AH70" s="384"/>
      <c r="AI70" s="384"/>
      <c r="AJ70" s="323"/>
      <c r="AK70" s="324"/>
      <c r="AU70" s="384"/>
      <c r="AV70" s="384"/>
      <c r="AW70" s="384"/>
      <c r="AX70" s="384"/>
      <c r="AY70" s="384"/>
      <c r="AZ70" s="384"/>
      <c r="BA70" s="384"/>
      <c r="BB70" s="384"/>
      <c r="BC70" s="384"/>
      <c r="BD70" s="384"/>
      <c r="BE70" s="384"/>
      <c r="BF70" s="323"/>
      <c r="BG70" s="324"/>
      <c r="CF70" s="287">
        <v>-1.2000000000000002</v>
      </c>
      <c r="CG70" s="286">
        <v>9.2600000000000016</v>
      </c>
    </row>
    <row r="71" spans="1:85" ht="18" customHeight="1" x14ac:dyDescent="0.2">
      <c r="A71" s="279"/>
      <c r="B71" s="280">
        <v>650</v>
      </c>
      <c r="C71" s="281">
        <v>508.51299999999998</v>
      </c>
      <c r="D71" s="282">
        <v>518.54279999999994</v>
      </c>
      <c r="E71" s="283">
        <v>27.294800000000002</v>
      </c>
      <c r="F71" s="284">
        <v>13.773999999999999</v>
      </c>
      <c r="G71" s="285">
        <v>1.06</v>
      </c>
      <c r="H71" s="286">
        <v>1.36</v>
      </c>
      <c r="I71" s="285">
        <v>3.74</v>
      </c>
      <c r="J71" s="286">
        <v>9.0500000000000007</v>
      </c>
      <c r="K71" s="286">
        <v>4.9530000000000003</v>
      </c>
      <c r="L71" s="286">
        <v>7.7010752688172044</v>
      </c>
      <c r="M71" s="286">
        <v>-12.370000190734864</v>
      </c>
      <c r="N71" s="322"/>
      <c r="O71" s="262"/>
      <c r="P71" s="263"/>
      <c r="Q71" s="263"/>
      <c r="R71" s="276"/>
      <c r="S71" s="277"/>
      <c r="T71" s="277"/>
      <c r="U71" s="242"/>
      <c r="V71" s="262"/>
      <c r="W71" s="263"/>
      <c r="X71" s="263"/>
      <c r="AA71" s="386"/>
      <c r="AB71" s="386"/>
      <c r="AC71" s="386"/>
      <c r="AD71" s="386"/>
      <c r="AE71" s="386"/>
      <c r="AF71" s="386"/>
      <c r="AG71" s="386"/>
      <c r="AH71" s="386"/>
      <c r="AI71" s="384"/>
      <c r="AJ71" s="323"/>
      <c r="AK71" s="324"/>
      <c r="AU71" s="386"/>
      <c r="AV71" s="386"/>
      <c r="AW71" s="386"/>
      <c r="AX71" s="386"/>
      <c r="AY71" s="386"/>
      <c r="AZ71" s="386"/>
      <c r="BA71" s="386"/>
      <c r="BB71" s="386"/>
      <c r="BC71" s="386"/>
      <c r="BD71" s="386"/>
      <c r="BE71" s="384"/>
      <c r="BF71" s="323"/>
      <c r="BG71" s="324"/>
      <c r="BK71" s="325">
        <v>6.5</v>
      </c>
      <c r="BL71" s="325" t="e">
        <f>IF(BK72=BM72,BL72,(BN72-BL72)/(BM72-BK72)*(BK71-BK72)+BL72)</f>
        <v>#N/A</v>
      </c>
      <c r="BP71" s="325">
        <v>5</v>
      </c>
      <c r="BQ71" s="325" t="e">
        <f>IF(BR72=BP72,BQ72,(BS72-BQ72)/(BR72-BP72)*(BP71-BP72)+BQ72)</f>
        <v>#N/A</v>
      </c>
      <c r="BV71" s="230" t="e">
        <f>BV57</f>
        <v>#N/A</v>
      </c>
      <c r="BW71" s="326" t="e">
        <f>IF(BV72=BY72,BW72,(BZ72-BW72)/(BY72-BV72)*(BV71-BV72)+BW72)</f>
        <v>#N/A</v>
      </c>
      <c r="BX71" s="326" t="e">
        <f>IF(BV72=BY72,BX72,(CA72-BX72)/(BY72-BV72)*(BV71-BV72)+BX72)</f>
        <v>#N/A</v>
      </c>
      <c r="BY71" s="325" t="e">
        <f>(BX71-BW71)/2</f>
        <v>#N/A</v>
      </c>
      <c r="CF71" s="287">
        <v>-1.5699999999999994</v>
      </c>
      <c r="CG71" s="286">
        <v>9.0500000000000007</v>
      </c>
    </row>
    <row r="72" spans="1:85" ht="18" customHeight="1" x14ac:dyDescent="0.2">
      <c r="A72" s="279"/>
      <c r="B72" s="280">
        <v>755</v>
      </c>
      <c r="C72" s="281">
        <v>613.51300000000003</v>
      </c>
      <c r="D72" s="282">
        <v>623.54279999999994</v>
      </c>
      <c r="E72" s="283">
        <v>31.333599999999997</v>
      </c>
      <c r="F72" s="284">
        <v>18.975000000000001</v>
      </c>
      <c r="G72" s="285">
        <v>1.23</v>
      </c>
      <c r="H72" s="286">
        <v>1.57</v>
      </c>
      <c r="I72" s="285">
        <v>3.53</v>
      </c>
      <c r="J72" s="286">
        <v>8.91</v>
      </c>
      <c r="K72" s="286">
        <v>5.6369999999999996</v>
      </c>
      <c r="L72" s="286">
        <v>7.5806451612903221</v>
      </c>
      <c r="M72" s="286">
        <v>-12.150000190734863</v>
      </c>
      <c r="N72" s="322"/>
      <c r="O72" s="234"/>
      <c r="P72" s="234"/>
      <c r="Q72" s="234"/>
      <c r="R72" s="241"/>
      <c r="S72" s="241"/>
      <c r="T72" s="241"/>
      <c r="U72" s="242"/>
      <c r="V72" s="234"/>
      <c r="W72" s="234"/>
      <c r="X72" s="234"/>
      <c r="AA72" s="386"/>
      <c r="AB72" s="386"/>
      <c r="AC72" s="386"/>
      <c r="AD72" s="386"/>
      <c r="AE72" s="386"/>
      <c r="AF72" s="386"/>
      <c r="AG72" s="386"/>
      <c r="AH72" s="386"/>
      <c r="AI72" s="384"/>
      <c r="AJ72" s="323"/>
      <c r="AK72" s="324"/>
      <c r="AU72" s="386"/>
      <c r="AV72" s="386"/>
      <c r="AW72" s="386"/>
      <c r="AX72" s="386"/>
      <c r="AY72" s="386"/>
      <c r="AZ72" s="386"/>
      <c r="BA72" s="386"/>
      <c r="BB72" s="386"/>
      <c r="BC72" s="386"/>
      <c r="BD72" s="386"/>
      <c r="BE72" s="384"/>
      <c r="BF72" s="323"/>
      <c r="BG72" s="324"/>
      <c r="BK72" s="230">
        <f>VLOOKUP($BK71,BK73:BL83,1)</f>
        <v>-3.7551020408163254</v>
      </c>
      <c r="BL72" s="230">
        <f>VLOOKUP($BK71,BK73:BL83,2)</f>
        <v>1385</v>
      </c>
      <c r="BM72" s="230" t="e">
        <f>-VLOOKUP(-$BK71,BM73:BN83,1)</f>
        <v>#N/A</v>
      </c>
      <c r="BN72" s="230" t="e">
        <f>VLOOKUP(-$BK71,BM73:BN83,2)</f>
        <v>#N/A</v>
      </c>
      <c r="BP72" s="230">
        <f>VLOOKUP($BP71,BP73:BQ83,1)</f>
        <v>-1.9191919191919169</v>
      </c>
      <c r="BQ72" s="230">
        <f>VLOOKUP($BP71,BP73:BQ83,2)</f>
        <v>1385</v>
      </c>
      <c r="BR72" s="230" t="e">
        <f>-VLOOKUP(-$BP71,BR73:BS83,1)</f>
        <v>#N/A</v>
      </c>
      <c r="BS72" s="230" t="e">
        <f>VLOOKUP(-$BP71,BR73:BS83,2)</f>
        <v>#N/A</v>
      </c>
      <c r="BV72" s="230" t="e">
        <f>VLOOKUP($BV$57,$BV74:$BX82,1)</f>
        <v>#N/A</v>
      </c>
      <c r="BW72" s="230" t="e">
        <f>VLOOKUP($BV$57,$BV74:$BX82,2)</f>
        <v>#N/A</v>
      </c>
      <c r="BX72" s="230" t="e">
        <f>VLOOKUP($BV$57,$BV74:$BX82,3)</f>
        <v>#N/A</v>
      </c>
      <c r="BY72" s="230" t="e">
        <f>-VLOOKUP(-$BV$57,$BY74:$CA82,1)</f>
        <v>#N/A</v>
      </c>
      <c r="BZ72" s="230" t="e">
        <f>VLOOKUP(-$BV$57,$BY74:$CA82,2)</f>
        <v>#N/A</v>
      </c>
      <c r="CA72" s="230" t="e">
        <f>VLOOKUP(-$BV$57,$BY74:$CA82,3)</f>
        <v>#N/A</v>
      </c>
      <c r="CF72" s="287">
        <v>-1.85</v>
      </c>
      <c r="CG72" s="286">
        <v>8.91</v>
      </c>
    </row>
    <row r="73" spans="1:85" ht="18" customHeight="1" x14ac:dyDescent="0.2">
      <c r="A73" s="279"/>
      <c r="B73" s="280">
        <v>860</v>
      </c>
      <c r="C73" s="281">
        <v>718.51300000000003</v>
      </c>
      <c r="D73" s="282">
        <v>728.54280000000006</v>
      </c>
      <c r="E73" s="283">
        <v>34.340900000000005</v>
      </c>
      <c r="F73" s="284">
        <v>24.271999999999998</v>
      </c>
      <c r="G73" s="285">
        <v>1.35</v>
      </c>
      <c r="H73" s="286">
        <v>1.72</v>
      </c>
      <c r="I73" s="285">
        <v>3.37</v>
      </c>
      <c r="J73" s="286">
        <v>8.7899999999999991</v>
      </c>
      <c r="K73" s="286">
        <v>6.3239999999999998</v>
      </c>
      <c r="L73" s="286">
        <v>7.4505376344086018</v>
      </c>
      <c r="M73" s="286">
        <v>-11.970000190734863</v>
      </c>
      <c r="N73" s="322"/>
      <c r="O73" s="234"/>
      <c r="P73" s="234"/>
      <c r="Q73" s="234"/>
      <c r="R73" s="241"/>
      <c r="S73" s="241"/>
      <c r="T73" s="241"/>
      <c r="U73" s="242"/>
      <c r="V73" s="234"/>
      <c r="W73" s="234"/>
      <c r="X73" s="234"/>
      <c r="AA73" s="386"/>
      <c r="AB73" s="386"/>
      <c r="AC73" s="386"/>
      <c r="AD73" s="386"/>
      <c r="AE73" s="386"/>
      <c r="AF73" s="386"/>
      <c r="AG73" s="386"/>
      <c r="AH73" s="386"/>
      <c r="AI73" s="387"/>
      <c r="AJ73" s="323"/>
      <c r="AK73" s="324"/>
      <c r="AU73" s="386"/>
      <c r="AV73" s="386"/>
      <c r="AW73" s="386"/>
      <c r="AX73" s="386"/>
      <c r="AY73" s="386"/>
      <c r="AZ73" s="386"/>
      <c r="BA73" s="386"/>
      <c r="BB73" s="386"/>
      <c r="BC73" s="386"/>
      <c r="BD73" s="386"/>
      <c r="BE73" s="387"/>
      <c r="BF73" s="323"/>
      <c r="BG73" s="324"/>
      <c r="BJ73" s="230">
        <f>BJ59</f>
        <v>1</v>
      </c>
      <c r="BK73" s="343">
        <f>BK74-(BK75-BK74)*BJ73</f>
        <v>-20</v>
      </c>
      <c r="BL73" s="343">
        <f>BL74-(BL75-BL74)*BJ73</f>
        <v>335</v>
      </c>
      <c r="BM73" s="343">
        <f>BM74-(BM75-BM74)*BJ83</f>
        <v>3.7551020408163254</v>
      </c>
      <c r="BN73" s="343">
        <f>BN74-(BN75-BN74)*BJ83</f>
        <v>1385</v>
      </c>
      <c r="BO73" s="230">
        <f>BO59</f>
        <v>1</v>
      </c>
      <c r="BP73" s="343">
        <f>BP74-(BP75-BP74)*BO73</f>
        <v>-6.4516400336417163</v>
      </c>
      <c r="BQ73" s="343">
        <f>BQ74-(BQ75-BQ74)*BO73</f>
        <v>335</v>
      </c>
      <c r="BR73" s="343">
        <f>BR74-(BR75-BR74)*BO83</f>
        <v>1.9191919191919169</v>
      </c>
      <c r="BS73" s="343">
        <f>BS74-(BS75-BS74)*BO83</f>
        <v>1385</v>
      </c>
      <c r="CF73" s="287">
        <v>-2.0599999999999996</v>
      </c>
      <c r="CG73" s="286">
        <v>8.8000000000000007</v>
      </c>
    </row>
    <row r="74" spans="1:85" ht="18" customHeight="1" x14ac:dyDescent="0.2">
      <c r="A74" s="279"/>
      <c r="B74" s="280">
        <v>965</v>
      </c>
      <c r="C74" s="281">
        <v>823.51300000000003</v>
      </c>
      <c r="D74" s="282">
        <v>833.54280000000006</v>
      </c>
      <c r="E74" s="283">
        <v>36.671099999999996</v>
      </c>
      <c r="F74" s="284">
        <v>29.651</v>
      </c>
      <c r="G74" s="285">
        <v>1.44</v>
      </c>
      <c r="H74" s="286">
        <v>1.83</v>
      </c>
      <c r="I74" s="285">
        <v>3.24</v>
      </c>
      <c r="J74" s="286">
        <v>8.6999999999999993</v>
      </c>
      <c r="K74" s="286">
        <v>7.0119999999999996</v>
      </c>
      <c r="L74" s="286">
        <v>7.3096774193548377</v>
      </c>
      <c r="M74" s="286">
        <v>-11.790000190734863</v>
      </c>
      <c r="N74" s="322"/>
      <c r="O74" s="234"/>
      <c r="P74" s="234"/>
      <c r="Q74" s="234"/>
      <c r="R74" s="241"/>
      <c r="S74" s="241"/>
      <c r="T74" s="241"/>
      <c r="U74" s="242"/>
      <c r="V74" s="234"/>
      <c r="W74" s="234"/>
      <c r="X74" s="234"/>
      <c r="AA74" s="386"/>
      <c r="AB74" s="386"/>
      <c r="AC74" s="386"/>
      <c r="AD74" s="386"/>
      <c r="AE74" s="386"/>
      <c r="AF74" s="386"/>
      <c r="AG74" s="386"/>
      <c r="AH74" s="386"/>
      <c r="AI74" s="385"/>
      <c r="AJ74" s="323"/>
      <c r="AK74" s="324"/>
      <c r="AU74" s="386"/>
      <c r="AV74" s="386"/>
      <c r="AW74" s="386"/>
      <c r="AX74" s="386"/>
      <c r="AY74" s="386"/>
      <c r="AZ74" s="386"/>
      <c r="BA74" s="386"/>
      <c r="BB74" s="386"/>
      <c r="BC74" s="386"/>
      <c r="BD74" s="386"/>
      <c r="BE74" s="385"/>
      <c r="BF74" s="323"/>
      <c r="BG74" s="324"/>
      <c r="BK74" s="343">
        <f t="shared" ref="BK74:BK82" si="17">BL87</f>
        <v>-20</v>
      </c>
      <c r="BL74" s="230">
        <f t="shared" ref="BL74:BL82" si="18">BK87</f>
        <v>440</v>
      </c>
      <c r="BM74" s="230">
        <f>-BK82</f>
        <v>4</v>
      </c>
      <c r="BN74" s="230">
        <f>BL82</f>
        <v>1280</v>
      </c>
      <c r="BP74" s="343">
        <f t="shared" ref="BP74:BP82" si="19">BQ87</f>
        <v>-7.3292682926829276</v>
      </c>
      <c r="BQ74" s="230">
        <f t="shared" ref="BQ74:BQ82" si="20">BP87</f>
        <v>440</v>
      </c>
      <c r="BR74" s="230">
        <f>-BP82</f>
        <v>1.9595959595959593</v>
      </c>
      <c r="BS74" s="230">
        <f>BQ82</f>
        <v>1280</v>
      </c>
      <c r="BV74" s="230">
        <f t="shared" ref="BV74:BV82" si="21">AA60</f>
        <v>440</v>
      </c>
      <c r="BW74" s="343">
        <f t="shared" ref="BW74:BW82" si="22">AE60</f>
        <v>-5.3414634146341449</v>
      </c>
      <c r="BX74" s="343">
        <f t="shared" ref="BX74:BX82" si="23">AI60</f>
        <v>-20</v>
      </c>
      <c r="BY74" s="230">
        <f>-BV82</f>
        <v>-1280</v>
      </c>
      <c r="BZ74" s="343">
        <f>BW82</f>
        <v>-8.0808080808081328E-2</v>
      </c>
      <c r="CA74" s="343">
        <f>BX82</f>
        <v>-4</v>
      </c>
      <c r="CF74" s="287">
        <v>-2.2199999999999998</v>
      </c>
      <c r="CG74" s="286">
        <v>8.6999999999999993</v>
      </c>
    </row>
    <row r="75" spans="1:85" ht="18" customHeight="1" x14ac:dyDescent="0.2">
      <c r="A75" s="279"/>
      <c r="B75" s="280">
        <v>1070</v>
      </c>
      <c r="C75" s="281">
        <v>928.51300000000003</v>
      </c>
      <c r="D75" s="282">
        <v>938.54280000000006</v>
      </c>
      <c r="E75" s="283">
        <v>38.523499999999999</v>
      </c>
      <c r="F75" s="284">
        <v>35.091999999999999</v>
      </c>
      <c r="G75" s="285">
        <v>1.51</v>
      </c>
      <c r="H75" s="286">
        <v>1.93</v>
      </c>
      <c r="I75" s="285">
        <v>3.14</v>
      </c>
      <c r="J75" s="286">
        <v>8.6199999999999992</v>
      </c>
      <c r="K75" s="286">
        <v>7.7009999999999996</v>
      </c>
      <c r="L75" s="286">
        <v>7.1634408602150534</v>
      </c>
      <c r="M75" s="286">
        <v>-11.630000190734863</v>
      </c>
      <c r="N75" s="322"/>
      <c r="O75" s="262"/>
      <c r="P75" s="263"/>
      <c r="Q75" s="263"/>
      <c r="R75" s="264"/>
      <c r="S75" s="264"/>
      <c r="T75" s="264"/>
      <c r="U75" s="242"/>
      <c r="V75" s="262"/>
      <c r="W75" s="263"/>
      <c r="X75" s="263"/>
      <c r="AA75" s="386"/>
      <c r="AB75" s="386"/>
      <c r="AC75" s="386"/>
      <c r="AD75" s="386"/>
      <c r="AE75" s="386"/>
      <c r="AF75" s="386"/>
      <c r="AG75" s="386"/>
      <c r="AH75" s="386"/>
      <c r="AI75" s="385"/>
      <c r="AJ75" s="323"/>
      <c r="AK75" s="324"/>
      <c r="AU75" s="386"/>
      <c r="AV75" s="386"/>
      <c r="AW75" s="386"/>
      <c r="AX75" s="386"/>
      <c r="AY75" s="386"/>
      <c r="AZ75" s="386"/>
      <c r="BA75" s="386"/>
      <c r="BB75" s="386"/>
      <c r="BC75" s="386"/>
      <c r="BD75" s="386"/>
      <c r="BE75" s="385"/>
      <c r="BF75" s="323"/>
      <c r="BG75" s="324"/>
      <c r="BK75" s="343">
        <f t="shared" si="17"/>
        <v>-20</v>
      </c>
      <c r="BL75" s="230">
        <f t="shared" si="18"/>
        <v>545</v>
      </c>
      <c r="BM75" s="230">
        <f>-BK81</f>
        <v>4.2448979591836746</v>
      </c>
      <c r="BN75" s="230">
        <f>BL81</f>
        <v>1175</v>
      </c>
      <c r="BP75" s="343">
        <f t="shared" si="19"/>
        <v>-8.2068965517241388</v>
      </c>
      <c r="BQ75" s="230">
        <f t="shared" si="20"/>
        <v>545</v>
      </c>
      <c r="BR75" s="230">
        <f>-BP81</f>
        <v>2.0000000000000018</v>
      </c>
      <c r="BS75" s="230">
        <f>BQ81</f>
        <v>1175</v>
      </c>
      <c r="BV75" s="230">
        <f t="shared" si="21"/>
        <v>545</v>
      </c>
      <c r="BW75" s="343">
        <f t="shared" si="22"/>
        <v>-3.5862068965517224</v>
      </c>
      <c r="BX75" s="343">
        <f t="shared" si="23"/>
        <v>-20</v>
      </c>
      <c r="BY75" s="230">
        <f>-BV81</f>
        <v>-1175</v>
      </c>
      <c r="BZ75" s="343">
        <f>BW81</f>
        <v>-0.24489795918367108</v>
      </c>
      <c r="CA75" s="343">
        <f>BX81</f>
        <v>-4.2448979591836746</v>
      </c>
      <c r="CF75" s="287">
        <v>-2.3299999999999996</v>
      </c>
      <c r="CG75" s="286">
        <v>8.61</v>
      </c>
    </row>
    <row r="76" spans="1:85" ht="18" customHeight="1" x14ac:dyDescent="0.2">
      <c r="A76" s="362"/>
      <c r="B76" s="280">
        <v>1175</v>
      </c>
      <c r="C76" s="281">
        <v>1033.5129999999999</v>
      </c>
      <c r="D76" s="282">
        <v>1043.5429999999999</v>
      </c>
      <c r="E76" s="363">
        <v>40.018700000000003</v>
      </c>
      <c r="F76" s="364">
        <v>40.578000000000003</v>
      </c>
      <c r="G76" s="365">
        <v>1.57</v>
      </c>
      <c r="H76" s="366">
        <v>2</v>
      </c>
      <c r="I76" s="365">
        <v>3.06</v>
      </c>
      <c r="J76" s="366">
        <v>8.5399999999999991</v>
      </c>
      <c r="K76" s="286">
        <v>8.391</v>
      </c>
      <c r="L76" s="286">
        <v>7.0139784946236556</v>
      </c>
      <c r="M76" s="286">
        <v>-11.470000190734863</v>
      </c>
      <c r="N76" s="322"/>
      <c r="O76" s="262"/>
      <c r="P76" s="263"/>
      <c r="Q76" s="263"/>
      <c r="R76" s="276"/>
      <c r="S76" s="277"/>
      <c r="T76" s="277"/>
      <c r="U76" s="242"/>
      <c r="V76" s="262"/>
      <c r="W76" s="263"/>
      <c r="X76" s="263"/>
      <c r="AA76" s="386"/>
      <c r="AB76" s="386"/>
      <c r="AC76" s="386"/>
      <c r="AD76" s="386"/>
      <c r="AE76" s="386"/>
      <c r="AF76" s="386"/>
      <c r="AG76" s="386"/>
      <c r="AH76" s="386"/>
      <c r="AI76" s="385"/>
      <c r="AJ76" s="323"/>
      <c r="AK76" s="324"/>
      <c r="AU76" s="386"/>
      <c r="AV76" s="386"/>
      <c r="AW76" s="386"/>
      <c r="AX76" s="386"/>
      <c r="AY76" s="386"/>
      <c r="AZ76" s="386"/>
      <c r="BA76" s="386"/>
      <c r="BB76" s="386"/>
      <c r="BC76" s="386"/>
      <c r="BD76" s="386"/>
      <c r="BE76" s="385"/>
      <c r="BF76" s="323"/>
      <c r="BG76" s="324"/>
      <c r="BK76" s="343">
        <f t="shared" si="17"/>
        <v>-6.087912087912084</v>
      </c>
      <c r="BL76" s="230">
        <f t="shared" si="18"/>
        <v>650</v>
      </c>
      <c r="BM76" s="230">
        <f>-BK80</f>
        <v>4.4742268041237097</v>
      </c>
      <c r="BN76" s="230">
        <f>BL80</f>
        <v>1070</v>
      </c>
      <c r="BP76" s="343">
        <f t="shared" si="19"/>
        <v>-1.7995115995115967</v>
      </c>
      <c r="BQ76" s="230">
        <f t="shared" si="20"/>
        <v>650</v>
      </c>
      <c r="BR76" s="230">
        <f>-BP80</f>
        <v>1.9999999999999982</v>
      </c>
      <c r="BS76" s="230">
        <f>BQ80</f>
        <v>1070</v>
      </c>
      <c r="BV76" s="230">
        <f t="shared" si="21"/>
        <v>650</v>
      </c>
      <c r="BW76" s="343">
        <f t="shared" si="22"/>
        <v>-2.4888888888888907</v>
      </c>
      <c r="BX76" s="343">
        <f t="shared" si="23"/>
        <v>-6.087912087912084</v>
      </c>
      <c r="BY76" s="230">
        <f>-BV80</f>
        <v>-1070</v>
      </c>
      <c r="BZ76" s="343">
        <f>BW80</f>
        <v>-0.47422680412371321</v>
      </c>
      <c r="CA76" s="343">
        <f>BX80</f>
        <v>-4.4742268041237097</v>
      </c>
      <c r="CF76" s="287">
        <v>-2.4200000000000004</v>
      </c>
      <c r="CG76" s="286">
        <v>8.5400000000000009</v>
      </c>
    </row>
    <row r="77" spans="1:85" ht="18" customHeight="1" thickBot="1" x14ac:dyDescent="0.25">
      <c r="A77" s="367"/>
      <c r="B77" s="292">
        <v>1280</v>
      </c>
      <c r="C77" s="368">
        <v>1138.5129999999999</v>
      </c>
      <c r="D77" s="369">
        <v>1148.5429999999999</v>
      </c>
      <c r="E77" s="370">
        <v>41.235199999999999</v>
      </c>
      <c r="F77" s="371">
        <v>46.09</v>
      </c>
      <c r="G77" s="372">
        <v>1.61</v>
      </c>
      <c r="H77" s="373">
        <v>2.06</v>
      </c>
      <c r="I77" s="372">
        <v>2.99</v>
      </c>
      <c r="J77" s="373">
        <v>8.4700000000000006</v>
      </c>
      <c r="K77" s="388">
        <v>9.0809999999999995</v>
      </c>
      <c r="L77" s="388">
        <v>6.8634408602150536</v>
      </c>
      <c r="M77" s="388">
        <v>-11.310000190734863</v>
      </c>
      <c r="N77" s="322"/>
      <c r="O77" s="262"/>
      <c r="P77" s="263"/>
      <c r="Q77" s="263"/>
      <c r="R77" s="276"/>
      <c r="S77" s="277"/>
      <c r="T77" s="277"/>
      <c r="U77" s="242"/>
      <c r="V77" s="262"/>
      <c r="W77" s="263"/>
      <c r="X77" s="263"/>
      <c r="AA77" s="386"/>
      <c r="AB77" s="386"/>
      <c r="AC77" s="386"/>
      <c r="AD77" s="386"/>
      <c r="AE77" s="386"/>
      <c r="AF77" s="386"/>
      <c r="AG77" s="386"/>
      <c r="AH77" s="386"/>
      <c r="AI77" s="385"/>
      <c r="AJ77" s="323"/>
      <c r="AK77" s="324"/>
      <c r="AU77" s="386"/>
      <c r="AV77" s="386"/>
      <c r="AW77" s="386"/>
      <c r="AX77" s="386"/>
      <c r="AY77" s="386"/>
      <c r="AZ77" s="386"/>
      <c r="BA77" s="386"/>
      <c r="BB77" s="386"/>
      <c r="BC77" s="386"/>
      <c r="BD77" s="386"/>
      <c r="BE77" s="385"/>
      <c r="BF77" s="323"/>
      <c r="BG77" s="324"/>
      <c r="BK77" s="343">
        <f t="shared" si="17"/>
        <v>-5.5268817204301062</v>
      </c>
      <c r="BL77" s="230">
        <f t="shared" si="18"/>
        <v>755</v>
      </c>
      <c r="BM77" s="230">
        <f>-BK79</f>
        <v>4.7708333333333357</v>
      </c>
      <c r="BN77" s="230">
        <f>BL79</f>
        <v>965</v>
      </c>
      <c r="BP77" s="343">
        <f t="shared" si="19"/>
        <v>-1.9032258064516121</v>
      </c>
      <c r="BQ77" s="230">
        <f t="shared" si="20"/>
        <v>755</v>
      </c>
      <c r="BR77" s="230">
        <f>-BP79</f>
        <v>2.0000000000000018</v>
      </c>
      <c r="BS77" s="230">
        <f>BQ79</f>
        <v>965</v>
      </c>
      <c r="BV77" s="230">
        <f t="shared" si="21"/>
        <v>755</v>
      </c>
      <c r="BW77" s="343">
        <f t="shared" si="22"/>
        <v>-1.720430107526882</v>
      </c>
      <c r="BX77" s="343">
        <f t="shared" si="23"/>
        <v>-5.5268817204301062</v>
      </c>
      <c r="BY77" s="230">
        <f>-BV79</f>
        <v>-965</v>
      </c>
      <c r="BZ77" s="343">
        <f>BW79</f>
        <v>-0.77083333333333215</v>
      </c>
      <c r="CA77" s="343">
        <f>BX79</f>
        <v>-4.7708333333333357</v>
      </c>
      <c r="CF77" s="302">
        <v>-2.4799999999999995</v>
      </c>
      <c r="CG77" s="301">
        <v>8.4600000000000009</v>
      </c>
    </row>
    <row r="78" spans="1:85" ht="18" customHeight="1" x14ac:dyDescent="0.2">
      <c r="A78" s="268">
        <v>6</v>
      </c>
      <c r="B78" s="269">
        <v>440</v>
      </c>
      <c r="C78" s="270">
        <v>298.51299999999998</v>
      </c>
      <c r="D78" s="271">
        <v>308.5428</v>
      </c>
      <c r="E78" s="272">
        <v>35.672700000000006</v>
      </c>
      <c r="F78" s="273">
        <v>10.917999999999999</v>
      </c>
      <c r="G78" s="274">
        <v>1.57</v>
      </c>
      <c r="H78" s="275">
        <v>1.78</v>
      </c>
      <c r="I78" s="274">
        <v>5.29</v>
      </c>
      <c r="J78" s="275">
        <v>10.41</v>
      </c>
      <c r="K78" s="275">
        <v>3.6760000000000002</v>
      </c>
      <c r="L78" s="275">
        <v>7.913978494623656</v>
      </c>
      <c r="M78" s="275">
        <v>-14.330000190734863</v>
      </c>
      <c r="N78" s="322"/>
      <c r="O78" s="262"/>
      <c r="P78" s="263"/>
      <c r="Q78" s="263"/>
      <c r="R78" s="276"/>
      <c r="S78" s="277"/>
      <c r="T78" s="277"/>
      <c r="U78" s="242"/>
      <c r="V78" s="262"/>
      <c r="W78" s="263"/>
      <c r="X78" s="263"/>
      <c r="AA78" s="386"/>
      <c r="AB78" s="386"/>
      <c r="AC78" s="386"/>
      <c r="AD78" s="386"/>
      <c r="AE78" s="386"/>
      <c r="AF78" s="386"/>
      <c r="AG78" s="386"/>
      <c r="AH78" s="386"/>
      <c r="AI78" s="385"/>
      <c r="AJ78" s="323"/>
      <c r="AK78" s="324"/>
      <c r="AU78" s="386"/>
      <c r="AV78" s="386"/>
      <c r="AW78" s="386"/>
      <c r="AX78" s="386"/>
      <c r="AY78" s="386"/>
      <c r="AZ78" s="386"/>
      <c r="BA78" s="386"/>
      <c r="BB78" s="386"/>
      <c r="BC78" s="386"/>
      <c r="BD78" s="386"/>
      <c r="BE78" s="385"/>
      <c r="BF78" s="323"/>
      <c r="BG78" s="324"/>
      <c r="BK78" s="343">
        <f t="shared" si="17"/>
        <v>-5.1157894736842096</v>
      </c>
      <c r="BL78" s="230">
        <f t="shared" si="18"/>
        <v>860</v>
      </c>
      <c r="BM78" s="230">
        <f>-BK78</f>
        <v>5.1157894736842096</v>
      </c>
      <c r="BN78" s="230">
        <f>BL78</f>
        <v>860</v>
      </c>
      <c r="BP78" s="343">
        <f t="shared" si="19"/>
        <v>-1.9727883538633817</v>
      </c>
      <c r="BQ78" s="230">
        <f t="shared" si="20"/>
        <v>860</v>
      </c>
      <c r="BR78" s="230">
        <f>-BP78</f>
        <v>1.9727883538633817</v>
      </c>
      <c r="BS78" s="230">
        <f>BQ78</f>
        <v>860</v>
      </c>
      <c r="BV78" s="230">
        <f t="shared" si="21"/>
        <v>860</v>
      </c>
      <c r="BW78" s="343">
        <f t="shared" si="22"/>
        <v>-1.1702127659574462</v>
      </c>
      <c r="BX78" s="343">
        <f t="shared" si="23"/>
        <v>-5.1157894736842096</v>
      </c>
      <c r="BY78" s="230">
        <f>-BV78</f>
        <v>-860</v>
      </c>
      <c r="BZ78" s="343">
        <f>BW78</f>
        <v>-1.1702127659574462</v>
      </c>
      <c r="CA78" s="343">
        <f>BX78</f>
        <v>-5.1157894736842096</v>
      </c>
      <c r="CF78" s="278">
        <v>0.17999999999999972</v>
      </c>
      <c r="CG78" s="275">
        <v>10.4</v>
      </c>
    </row>
    <row r="79" spans="1:85" ht="18" customHeight="1" x14ac:dyDescent="0.2">
      <c r="A79" s="279"/>
      <c r="B79" s="280">
        <v>545</v>
      </c>
      <c r="C79" s="281">
        <v>403.51299999999998</v>
      </c>
      <c r="D79" s="282">
        <v>413.5428</v>
      </c>
      <c r="E79" s="283">
        <v>44.2515</v>
      </c>
      <c r="F79" s="284">
        <v>17.978000000000002</v>
      </c>
      <c r="G79" s="285">
        <v>1.95</v>
      </c>
      <c r="H79" s="286">
        <v>2.21</v>
      </c>
      <c r="I79" s="285">
        <v>4.9000000000000004</v>
      </c>
      <c r="J79" s="286">
        <v>10.130000000000001</v>
      </c>
      <c r="K79" s="286">
        <v>4.3490000000000002</v>
      </c>
      <c r="L79" s="286">
        <v>7.8129032258064504</v>
      </c>
      <c r="M79" s="286">
        <v>-13.960000190734863</v>
      </c>
      <c r="N79" s="322"/>
      <c r="O79" s="262"/>
      <c r="P79" s="263"/>
      <c r="Q79" s="263"/>
      <c r="R79" s="276"/>
      <c r="S79" s="277"/>
      <c r="T79" s="277"/>
      <c r="U79" s="242"/>
      <c r="V79" s="262"/>
      <c r="W79" s="263"/>
      <c r="X79" s="263"/>
      <c r="AA79" s="386"/>
      <c r="AB79" s="386"/>
      <c r="AC79" s="386"/>
      <c r="AD79" s="386"/>
      <c r="AE79" s="386"/>
      <c r="AF79" s="386"/>
      <c r="AG79" s="386"/>
      <c r="AH79" s="386"/>
      <c r="AI79" s="385"/>
      <c r="AJ79" s="323"/>
      <c r="AK79" s="324"/>
      <c r="AU79" s="386"/>
      <c r="AV79" s="386"/>
      <c r="AW79" s="386"/>
      <c r="AX79" s="386"/>
      <c r="AY79" s="386"/>
      <c r="AZ79" s="386"/>
      <c r="BA79" s="386"/>
      <c r="BB79" s="386"/>
      <c r="BC79" s="386"/>
      <c r="BD79" s="386"/>
      <c r="BE79" s="385"/>
      <c r="BF79" s="323"/>
      <c r="BG79" s="324"/>
      <c r="BK79" s="343">
        <f t="shared" si="17"/>
        <v>-4.7708333333333357</v>
      </c>
      <c r="BL79" s="230">
        <f t="shared" si="18"/>
        <v>965</v>
      </c>
      <c r="BM79" s="230">
        <f>-BK77</f>
        <v>5.5268817204301062</v>
      </c>
      <c r="BN79" s="230">
        <f>BL77</f>
        <v>755</v>
      </c>
      <c r="BP79" s="343">
        <f t="shared" si="19"/>
        <v>-2.0000000000000018</v>
      </c>
      <c r="BQ79" s="230">
        <f t="shared" si="20"/>
        <v>965</v>
      </c>
      <c r="BR79" s="230">
        <f>-BP77</f>
        <v>1.9032258064516121</v>
      </c>
      <c r="BS79" s="230">
        <f>BQ77</f>
        <v>755</v>
      </c>
      <c r="BV79" s="230">
        <f t="shared" si="21"/>
        <v>965</v>
      </c>
      <c r="BW79" s="343">
        <f t="shared" si="22"/>
        <v>-0.77083333333333215</v>
      </c>
      <c r="BX79" s="343">
        <f t="shared" si="23"/>
        <v>-4.7708333333333357</v>
      </c>
      <c r="BY79" s="230">
        <f>-BV77</f>
        <v>-755</v>
      </c>
      <c r="BZ79" s="343">
        <f>BW77</f>
        <v>-1.720430107526882</v>
      </c>
      <c r="CA79" s="343">
        <f>BX77</f>
        <v>-5.5268817204301062</v>
      </c>
      <c r="CF79" s="287">
        <v>-0.33000000000000007</v>
      </c>
      <c r="CG79" s="286">
        <v>10.130000000000001</v>
      </c>
    </row>
    <row r="80" spans="1:85" ht="18" customHeight="1" x14ac:dyDescent="0.2">
      <c r="A80" s="279"/>
      <c r="B80" s="280">
        <v>650</v>
      </c>
      <c r="C80" s="281">
        <v>508.51299999999998</v>
      </c>
      <c r="D80" s="282">
        <v>518.54279999999994</v>
      </c>
      <c r="E80" s="283">
        <v>49.771099999999997</v>
      </c>
      <c r="F80" s="284">
        <v>25.202999999999996</v>
      </c>
      <c r="G80" s="285">
        <v>2.19</v>
      </c>
      <c r="H80" s="286">
        <v>2.4900000000000002</v>
      </c>
      <c r="I80" s="285">
        <v>4.6399999999999997</v>
      </c>
      <c r="J80" s="286">
        <v>9.9499999999999993</v>
      </c>
      <c r="K80" s="286">
        <v>5.03</v>
      </c>
      <c r="L80" s="286">
        <v>7.7010752688172044</v>
      </c>
      <c r="M80" s="286">
        <v>-13.700000190734864</v>
      </c>
      <c r="N80" s="322"/>
      <c r="O80" s="262"/>
      <c r="P80" s="263"/>
      <c r="Q80" s="263"/>
      <c r="R80" s="276"/>
      <c r="S80" s="277"/>
      <c r="T80" s="277"/>
      <c r="U80" s="242"/>
      <c r="V80" s="262"/>
      <c r="W80" s="263"/>
      <c r="X80" s="263"/>
      <c r="AA80" s="385"/>
      <c r="AB80" s="385"/>
      <c r="AC80" s="385"/>
      <c r="AD80" s="385"/>
      <c r="AE80" s="385"/>
      <c r="AF80" s="385"/>
      <c r="AG80" s="385"/>
      <c r="AH80" s="385"/>
      <c r="AI80" s="385"/>
      <c r="AJ80" s="323"/>
      <c r="AK80" s="324"/>
      <c r="AU80" s="385"/>
      <c r="AV80" s="385"/>
      <c r="AW80" s="385"/>
      <c r="AX80" s="385"/>
      <c r="AY80" s="385"/>
      <c r="AZ80" s="385"/>
      <c r="BA80" s="385"/>
      <c r="BB80" s="385"/>
      <c r="BC80" s="385"/>
      <c r="BD80" s="385"/>
      <c r="BE80" s="385"/>
      <c r="BF80" s="323"/>
      <c r="BG80" s="324"/>
      <c r="BK80" s="343">
        <f t="shared" si="17"/>
        <v>-4.4742268041237097</v>
      </c>
      <c r="BL80" s="230">
        <f t="shared" si="18"/>
        <v>1070</v>
      </c>
      <c r="BM80" s="230">
        <f>-BK76</f>
        <v>6.087912087912084</v>
      </c>
      <c r="BN80" s="230">
        <f>BL76</f>
        <v>650</v>
      </c>
      <c r="BP80" s="343">
        <f t="shared" si="19"/>
        <v>-1.9999999999999982</v>
      </c>
      <c r="BQ80" s="230">
        <f t="shared" si="20"/>
        <v>1070</v>
      </c>
      <c r="BR80" s="230">
        <f>-BP76</f>
        <v>1.7995115995115967</v>
      </c>
      <c r="BS80" s="230">
        <f>BQ76</f>
        <v>650</v>
      </c>
      <c r="BV80" s="230">
        <f t="shared" si="21"/>
        <v>1070</v>
      </c>
      <c r="BW80" s="343">
        <f t="shared" si="22"/>
        <v>-0.47422680412371321</v>
      </c>
      <c r="BX80" s="343">
        <f t="shared" si="23"/>
        <v>-4.4742268041237097</v>
      </c>
      <c r="BY80" s="230">
        <f>-BV76</f>
        <v>-650</v>
      </c>
      <c r="BZ80" s="343">
        <f>BW76</f>
        <v>-2.4888888888888907</v>
      </c>
      <c r="CA80" s="343">
        <f>BX76</f>
        <v>-6.087912087912084</v>
      </c>
      <c r="CF80" s="287">
        <v>-0.66999999999999993</v>
      </c>
      <c r="CG80" s="286">
        <v>9.9499999999999993</v>
      </c>
    </row>
    <row r="81" spans="1:85" ht="18" customHeight="1" x14ac:dyDescent="0.2">
      <c r="A81" s="279"/>
      <c r="B81" s="280">
        <v>755</v>
      </c>
      <c r="C81" s="281">
        <v>613.51300000000003</v>
      </c>
      <c r="D81" s="282">
        <v>623.54279999999994</v>
      </c>
      <c r="E81" s="283">
        <v>53.629899999999992</v>
      </c>
      <c r="F81" s="284">
        <v>32.545000000000002</v>
      </c>
      <c r="G81" s="285">
        <v>2.35</v>
      </c>
      <c r="H81" s="286">
        <v>2.68</v>
      </c>
      <c r="I81" s="285">
        <v>4.45</v>
      </c>
      <c r="J81" s="286">
        <v>9.83</v>
      </c>
      <c r="K81" s="286">
        <v>5.7160000000000002</v>
      </c>
      <c r="L81" s="286">
        <v>7.5806451612903221</v>
      </c>
      <c r="M81" s="286">
        <v>-13.490000190734863</v>
      </c>
      <c r="N81" s="322"/>
      <c r="O81" s="262"/>
      <c r="P81" s="263"/>
      <c r="Q81" s="263"/>
      <c r="R81" s="276"/>
      <c r="S81" s="277"/>
      <c r="T81" s="277"/>
      <c r="U81" s="242"/>
      <c r="V81" s="262"/>
      <c r="W81" s="263"/>
      <c r="X81" s="263"/>
      <c r="AA81" s="385"/>
      <c r="AB81" s="385"/>
      <c r="AC81" s="385"/>
      <c r="AD81" s="385"/>
      <c r="AE81" s="385"/>
      <c r="AF81" s="385"/>
      <c r="AG81" s="385"/>
      <c r="AH81" s="385"/>
      <c r="AI81" s="385"/>
      <c r="AJ81" s="323"/>
      <c r="AK81" s="324"/>
      <c r="AU81" s="385"/>
      <c r="AV81" s="385"/>
      <c r="AW81" s="385"/>
      <c r="AX81" s="385"/>
      <c r="AY81" s="385"/>
      <c r="AZ81" s="385"/>
      <c r="BA81" s="385"/>
      <c r="BB81" s="385"/>
      <c r="BC81" s="385"/>
      <c r="BD81" s="385"/>
      <c r="BE81" s="385"/>
      <c r="BF81" s="323"/>
      <c r="BG81" s="324"/>
      <c r="BK81" s="343">
        <f t="shared" si="17"/>
        <v>-4.2448979591836746</v>
      </c>
      <c r="BL81" s="230">
        <f t="shared" si="18"/>
        <v>1175</v>
      </c>
      <c r="BM81" s="230">
        <f>-BK75</f>
        <v>20</v>
      </c>
      <c r="BN81" s="230">
        <f>BL75</f>
        <v>545</v>
      </c>
      <c r="BP81" s="343">
        <f t="shared" si="19"/>
        <v>-2.0000000000000018</v>
      </c>
      <c r="BQ81" s="230">
        <f t="shared" si="20"/>
        <v>1175</v>
      </c>
      <c r="BR81" s="230">
        <f>-BP75</f>
        <v>8.2068965517241388</v>
      </c>
      <c r="BS81" s="230">
        <f>BQ75</f>
        <v>545</v>
      </c>
      <c r="BV81" s="230">
        <f t="shared" si="21"/>
        <v>1175</v>
      </c>
      <c r="BW81" s="343">
        <f t="shared" si="22"/>
        <v>-0.24489795918367108</v>
      </c>
      <c r="BX81" s="343">
        <f t="shared" si="23"/>
        <v>-4.2448979591836746</v>
      </c>
      <c r="BY81" s="230">
        <f>-BV75</f>
        <v>-545</v>
      </c>
      <c r="BZ81" s="343">
        <f>BW75</f>
        <v>-3.5862068965517224</v>
      </c>
      <c r="CA81" s="343">
        <f>BX75</f>
        <v>-20</v>
      </c>
      <c r="CF81" s="287">
        <v>-0.92999999999999972</v>
      </c>
      <c r="CG81" s="286">
        <v>9.83</v>
      </c>
    </row>
    <row r="82" spans="1:85" ht="18" customHeight="1" x14ac:dyDescent="0.2">
      <c r="A82" s="279"/>
      <c r="B82" s="280">
        <v>860</v>
      </c>
      <c r="C82" s="281">
        <v>718.51300000000003</v>
      </c>
      <c r="D82" s="282">
        <v>728.54280000000006</v>
      </c>
      <c r="E82" s="283">
        <v>56.485999999999997</v>
      </c>
      <c r="F82" s="284">
        <v>39.982999999999997</v>
      </c>
      <c r="G82" s="285">
        <v>2.46</v>
      </c>
      <c r="H82" s="286">
        <v>2.82</v>
      </c>
      <c r="I82" s="285">
        <v>4.3099999999999996</v>
      </c>
      <c r="J82" s="286">
        <v>9.74</v>
      </c>
      <c r="K82" s="286">
        <v>6.4039999999999999</v>
      </c>
      <c r="L82" s="286">
        <v>7.4505376344086018</v>
      </c>
      <c r="M82" s="286">
        <v>-13.300000190734863</v>
      </c>
      <c r="N82" s="322"/>
      <c r="O82" s="262"/>
      <c r="P82" s="263"/>
      <c r="Q82" s="263"/>
      <c r="R82" s="276"/>
      <c r="S82" s="277"/>
      <c r="T82" s="277"/>
      <c r="U82" s="242"/>
      <c r="V82" s="262"/>
      <c r="W82" s="263"/>
      <c r="X82" s="263"/>
      <c r="AA82" s="385"/>
      <c r="AB82" s="385"/>
      <c r="AC82" s="385"/>
      <c r="AD82" s="385"/>
      <c r="AE82" s="385"/>
      <c r="AF82" s="385"/>
      <c r="AG82" s="385"/>
      <c r="AH82" s="385"/>
      <c r="AI82" s="385"/>
      <c r="AJ82" s="323"/>
      <c r="AK82" s="324"/>
      <c r="AU82" s="385"/>
      <c r="AV82" s="385"/>
      <c r="AW82" s="385"/>
      <c r="AX82" s="385"/>
      <c r="AY82" s="385"/>
      <c r="AZ82" s="385"/>
      <c r="BA82" s="385"/>
      <c r="BB82" s="385"/>
      <c r="BC82" s="385"/>
      <c r="BD82" s="385"/>
      <c r="BE82" s="385"/>
      <c r="BF82" s="323"/>
      <c r="BG82" s="324"/>
      <c r="BK82" s="343">
        <f t="shared" si="17"/>
        <v>-4</v>
      </c>
      <c r="BL82" s="230">
        <f t="shared" si="18"/>
        <v>1280</v>
      </c>
      <c r="BM82" s="230">
        <f>-BK74</f>
        <v>20</v>
      </c>
      <c r="BN82" s="230">
        <f>BL74</f>
        <v>440</v>
      </c>
      <c r="BP82" s="343">
        <f t="shared" si="19"/>
        <v>-1.9595959595959593</v>
      </c>
      <c r="BQ82" s="230">
        <f t="shared" si="20"/>
        <v>1280</v>
      </c>
      <c r="BR82" s="230">
        <f>-BP74</f>
        <v>7.3292682926829276</v>
      </c>
      <c r="BS82" s="230">
        <f>BQ74</f>
        <v>440</v>
      </c>
      <c r="BV82" s="230">
        <f t="shared" si="21"/>
        <v>1280</v>
      </c>
      <c r="BW82" s="343">
        <f t="shared" si="22"/>
        <v>-8.0808080808081328E-2</v>
      </c>
      <c r="BX82" s="343">
        <f t="shared" si="23"/>
        <v>-4</v>
      </c>
      <c r="BY82" s="230">
        <f>-BV74</f>
        <v>-440</v>
      </c>
      <c r="BZ82" s="343">
        <f>BW74</f>
        <v>-5.3414634146341449</v>
      </c>
      <c r="CA82" s="343">
        <f>BX74</f>
        <v>-20</v>
      </c>
      <c r="CF82" s="287">
        <v>-1.1200000000000001</v>
      </c>
      <c r="CG82" s="286">
        <v>9.7399999999999984</v>
      </c>
    </row>
    <row r="83" spans="1:85" ht="18" customHeight="1" x14ac:dyDescent="0.2">
      <c r="A83" s="279"/>
      <c r="B83" s="280">
        <v>965</v>
      </c>
      <c r="C83" s="281">
        <v>823.51300000000003</v>
      </c>
      <c r="D83" s="282">
        <v>833.54280000000006</v>
      </c>
      <c r="E83" s="283">
        <v>58.6828</v>
      </c>
      <c r="F83" s="284">
        <v>47.5</v>
      </c>
      <c r="G83" s="285">
        <v>2.54</v>
      </c>
      <c r="H83" s="286">
        <v>2.93</v>
      </c>
      <c r="I83" s="285">
        <v>4.2</v>
      </c>
      <c r="J83" s="286">
        <v>9.66</v>
      </c>
      <c r="K83" s="286">
        <v>7.0940000000000003</v>
      </c>
      <c r="L83" s="286">
        <v>7.3096774193548377</v>
      </c>
      <c r="M83" s="286">
        <v>-13.130000190734863</v>
      </c>
      <c r="N83" s="322"/>
      <c r="O83" s="262"/>
      <c r="P83" s="263"/>
      <c r="Q83" s="263"/>
      <c r="R83" s="276"/>
      <c r="S83" s="277"/>
      <c r="T83" s="277"/>
      <c r="U83" s="242"/>
      <c r="V83" s="262"/>
      <c r="W83" s="263"/>
      <c r="X83" s="263"/>
      <c r="AA83" s="386"/>
      <c r="AB83" s="386"/>
      <c r="AC83" s="386"/>
      <c r="AD83" s="386"/>
      <c r="AE83" s="386"/>
      <c r="AF83" s="386"/>
      <c r="AG83" s="386"/>
      <c r="AH83" s="386"/>
      <c r="AI83" s="386"/>
      <c r="AJ83" s="323"/>
      <c r="AK83" s="324"/>
      <c r="AU83" s="386"/>
      <c r="AV83" s="386"/>
      <c r="AW83" s="386"/>
      <c r="AX83" s="386"/>
      <c r="AY83" s="386"/>
      <c r="AZ83" s="386"/>
      <c r="BA83" s="386"/>
      <c r="BB83" s="386"/>
      <c r="BC83" s="386"/>
      <c r="BD83" s="386"/>
      <c r="BE83" s="386"/>
      <c r="BF83" s="323"/>
      <c r="BG83" s="324"/>
      <c r="BJ83" s="230">
        <f>BJ69</f>
        <v>1</v>
      </c>
      <c r="BK83" s="343">
        <f>BK82+(BK82-BK81)*BJ83</f>
        <v>-3.7551020408163254</v>
      </c>
      <c r="BL83" s="343">
        <f>BL82+(BL82-BL81)*BJ83</f>
        <v>1385</v>
      </c>
      <c r="BM83" s="343">
        <f>BM82+(BM82-BM81)*BJ73</f>
        <v>20</v>
      </c>
      <c r="BN83" s="343">
        <f>BN82+(BN82-BN81)*BJ73</f>
        <v>335</v>
      </c>
      <c r="BO83" s="230">
        <f>BO69</f>
        <v>1</v>
      </c>
      <c r="BP83" s="343">
        <f>BP82+(BP82-BP81)*BO83</f>
        <v>-1.9191919191919169</v>
      </c>
      <c r="BQ83" s="343">
        <f>BQ82+(BQ82-BQ81)*BO83</f>
        <v>1385</v>
      </c>
      <c r="BR83" s="343">
        <f>BR82+(BR82-BR81)*BO73</f>
        <v>6.4516400336417163</v>
      </c>
      <c r="BS83" s="343">
        <f>BS82+(BS82-BS81)*BO73</f>
        <v>335</v>
      </c>
      <c r="CF83" s="287">
        <v>-1.2599999999999998</v>
      </c>
      <c r="CG83" s="286">
        <v>9.66</v>
      </c>
    </row>
    <row r="84" spans="1:85" ht="18" customHeight="1" x14ac:dyDescent="0.2">
      <c r="A84" s="279"/>
      <c r="B84" s="280">
        <v>1070</v>
      </c>
      <c r="C84" s="281">
        <v>928.51300000000003</v>
      </c>
      <c r="D84" s="282">
        <v>938.54280000000006</v>
      </c>
      <c r="E84" s="283">
        <v>60.4133</v>
      </c>
      <c r="F84" s="284">
        <v>55.079000000000001</v>
      </c>
      <c r="G84" s="285">
        <v>2.61</v>
      </c>
      <c r="H84" s="286">
        <v>3.02</v>
      </c>
      <c r="I84" s="285">
        <v>4.12</v>
      </c>
      <c r="J84" s="286">
        <v>9.59</v>
      </c>
      <c r="K84" s="286">
        <v>7.7839999999999998</v>
      </c>
      <c r="L84" s="286">
        <v>7.1634408602150534</v>
      </c>
      <c r="M84" s="286">
        <v>-12.960000190734863</v>
      </c>
      <c r="N84" s="322"/>
      <c r="O84" s="262"/>
      <c r="P84" s="263"/>
      <c r="Q84" s="263"/>
      <c r="R84" s="276"/>
      <c r="S84" s="277"/>
      <c r="T84" s="277"/>
      <c r="U84" s="242"/>
      <c r="V84" s="262"/>
      <c r="W84" s="263"/>
      <c r="X84" s="263"/>
      <c r="AA84" s="386"/>
      <c r="AB84" s="386"/>
      <c r="AC84" s="386"/>
      <c r="AD84" s="386"/>
      <c r="AE84" s="386"/>
      <c r="AF84" s="386"/>
      <c r="AG84" s="386"/>
      <c r="AH84" s="386"/>
      <c r="AI84" s="386"/>
      <c r="AJ84" s="323"/>
      <c r="AK84" s="324"/>
      <c r="AU84" s="386"/>
      <c r="AV84" s="386"/>
      <c r="AW84" s="386"/>
      <c r="AX84" s="386"/>
      <c r="AY84" s="386"/>
      <c r="AZ84" s="386"/>
      <c r="BA84" s="386"/>
      <c r="BB84" s="386"/>
      <c r="BC84" s="386"/>
      <c r="BD84" s="386"/>
      <c r="BE84" s="386"/>
      <c r="BF84" s="323"/>
      <c r="BG84" s="324"/>
      <c r="CF84" s="287">
        <v>-1.3499999999999996</v>
      </c>
      <c r="CG84" s="286">
        <v>9.59</v>
      </c>
    </row>
    <row r="85" spans="1:85" ht="18" customHeight="1" x14ac:dyDescent="0.2">
      <c r="A85" s="362"/>
      <c r="B85" s="280">
        <v>1175</v>
      </c>
      <c r="C85" s="281">
        <v>1033.5129999999999</v>
      </c>
      <c r="D85" s="282">
        <v>1043.5429999999999</v>
      </c>
      <c r="E85" s="363">
        <v>61.794700000000006</v>
      </c>
      <c r="F85" s="364">
        <v>62.700999999999993</v>
      </c>
      <c r="G85" s="365">
        <v>2.65</v>
      </c>
      <c r="H85" s="366">
        <v>3.09</v>
      </c>
      <c r="I85" s="365">
        <v>4.04</v>
      </c>
      <c r="J85" s="366">
        <v>9.52</v>
      </c>
      <c r="K85" s="286">
        <v>8.4749999999999996</v>
      </c>
      <c r="L85" s="286">
        <v>7.0139784946236556</v>
      </c>
      <c r="M85" s="286">
        <v>-12.800000190734863</v>
      </c>
      <c r="N85" s="322"/>
      <c r="O85" s="262"/>
      <c r="P85" s="263"/>
      <c r="Q85" s="263"/>
      <c r="R85" s="276"/>
      <c r="S85" s="277"/>
      <c r="T85" s="277"/>
      <c r="U85" s="242"/>
      <c r="V85" s="262"/>
      <c r="W85" s="263"/>
      <c r="X85" s="263"/>
      <c r="AA85" s="386"/>
      <c r="AB85" s="386"/>
      <c r="AC85" s="386"/>
      <c r="AD85" s="386"/>
      <c r="AE85" s="386"/>
      <c r="AF85" s="386"/>
      <c r="AG85" s="386"/>
      <c r="AH85" s="386"/>
      <c r="AI85" s="386"/>
      <c r="AJ85" s="323"/>
      <c r="AK85" s="324"/>
      <c r="AU85" s="386"/>
      <c r="AV85" s="386"/>
      <c r="AW85" s="386"/>
      <c r="AX85" s="386"/>
      <c r="AY85" s="386"/>
      <c r="AZ85" s="386"/>
      <c r="BA85" s="386"/>
      <c r="BB85" s="386"/>
      <c r="BC85" s="386"/>
      <c r="BD85" s="386"/>
      <c r="BE85" s="386"/>
      <c r="BF85" s="323"/>
      <c r="BG85" s="324"/>
      <c r="BJ85" s="230" t="s">
        <v>86</v>
      </c>
      <c r="BK85" s="230" t="e">
        <f>VLOOKUP($BL57,BK86:BL96,1)</f>
        <v>#N/A</v>
      </c>
      <c r="BL85" s="230" t="e">
        <f>VLOOKUP($BL57,BK86:BL96,2)</f>
        <v>#N/A</v>
      </c>
      <c r="BM85" s="230" t="e">
        <f>-VLOOKUP(-$BL57,BM86:BN96,1)</f>
        <v>#N/A</v>
      </c>
      <c r="BN85" s="230" t="e">
        <f>VLOOKUP(-$BL57,BM86:BN96,2)</f>
        <v>#N/A</v>
      </c>
      <c r="BP85" s="230" t="e">
        <f>VLOOKUP(BQ57,BP86:BQ96,1)</f>
        <v>#N/A</v>
      </c>
      <c r="BQ85" s="230" t="e">
        <f>VLOOKUP($BQ57,BP86:BQ96,2)</f>
        <v>#N/A</v>
      </c>
      <c r="BR85" s="230" t="e">
        <f>-VLOOKUP(-$BQ57,BR86:BS96,1)</f>
        <v>#N/A</v>
      </c>
      <c r="BS85" s="230" t="e">
        <f>VLOOKUP(-$BQ57,BR86:BS96,2)</f>
        <v>#N/A</v>
      </c>
      <c r="CF85" s="287">
        <v>-1.4400000000000004</v>
      </c>
      <c r="CG85" s="286">
        <v>9.52</v>
      </c>
    </row>
    <row r="86" spans="1:85" ht="18" customHeight="1" thickBot="1" x14ac:dyDescent="0.25">
      <c r="A86" s="367"/>
      <c r="B86" s="292">
        <v>1280</v>
      </c>
      <c r="C86" s="368">
        <v>1138.5129999999999</v>
      </c>
      <c r="D86" s="369">
        <v>1148.5429999999999</v>
      </c>
      <c r="E86" s="370">
        <v>62.902699999999996</v>
      </c>
      <c r="F86" s="371">
        <v>70.347999999999999</v>
      </c>
      <c r="G86" s="372">
        <v>2.69</v>
      </c>
      <c r="H86" s="373">
        <v>3.15</v>
      </c>
      <c r="I86" s="372">
        <v>3.98</v>
      </c>
      <c r="J86" s="373">
        <v>9.4600000000000009</v>
      </c>
      <c r="K86" s="298">
        <v>9.1649999999999991</v>
      </c>
      <c r="L86" s="298">
        <v>6.8634408602150536</v>
      </c>
      <c r="M86" s="298">
        <v>-12.640000190734863</v>
      </c>
      <c r="N86" s="322"/>
      <c r="O86" s="262"/>
      <c r="P86" s="263"/>
      <c r="Q86" s="263"/>
      <c r="R86" s="276"/>
      <c r="S86" s="277"/>
      <c r="T86" s="277"/>
      <c r="U86" s="242"/>
      <c r="V86" s="262"/>
      <c r="W86" s="263"/>
      <c r="X86" s="263"/>
      <c r="AA86" s="386"/>
      <c r="AB86" s="386"/>
      <c r="AC86" s="386"/>
      <c r="AD86" s="386"/>
      <c r="AE86" s="386"/>
      <c r="AF86" s="386"/>
      <c r="AG86" s="386"/>
      <c r="AH86" s="386"/>
      <c r="AI86" s="386"/>
      <c r="AJ86" s="323"/>
      <c r="AK86" s="324"/>
      <c r="AU86" s="386"/>
      <c r="AV86" s="386"/>
      <c r="AW86" s="386"/>
      <c r="AX86" s="386"/>
      <c r="AY86" s="386"/>
      <c r="AZ86" s="386"/>
      <c r="BA86" s="386"/>
      <c r="BB86" s="386"/>
      <c r="BC86" s="386"/>
      <c r="BD86" s="386"/>
      <c r="BE86" s="386"/>
      <c r="BF86" s="323"/>
      <c r="BG86" s="324"/>
      <c r="BJ86" s="230">
        <f>BJ59</f>
        <v>1</v>
      </c>
      <c r="BK86" s="343">
        <f>BK87-(BK88-BK87)*BJ86</f>
        <v>335</v>
      </c>
      <c r="BL86" s="343">
        <f>BL87-(BL88-BL87)*BJ86</f>
        <v>-20</v>
      </c>
      <c r="BM86" s="343">
        <f>BM87-(BM88-BM87)*BJ96</f>
        <v>-1385</v>
      </c>
      <c r="BN86" s="343">
        <f>BN87-(BN88-BN87)*BJ96</f>
        <v>-3.7551020408163254</v>
      </c>
      <c r="BO86" s="230">
        <f>BO59</f>
        <v>1</v>
      </c>
      <c r="BP86" s="343">
        <f>BP87-(BP88-BP87)*BO86</f>
        <v>335</v>
      </c>
      <c r="BQ86" s="343">
        <f>BQ87-(BQ88-BQ87)*BO86</f>
        <v>-6.4516400336417163</v>
      </c>
      <c r="BR86" s="343">
        <f>BR87-(BR88-BR87)*BO96</f>
        <v>-1385</v>
      </c>
      <c r="BS86" s="343">
        <f>BS87-(BS88-BS87)*BO96</f>
        <v>-1.9191919191919169</v>
      </c>
      <c r="CF86" s="299">
        <v>-1.4899999999999998</v>
      </c>
      <c r="CG86" s="298">
        <v>9.4499999999999993</v>
      </c>
    </row>
    <row r="87" spans="1:85" ht="18" customHeight="1" x14ac:dyDescent="0.2">
      <c r="A87" s="268">
        <v>8</v>
      </c>
      <c r="B87" s="269">
        <v>440</v>
      </c>
      <c r="C87" s="270">
        <v>298.51299999999998</v>
      </c>
      <c r="D87" s="271">
        <v>308.5428</v>
      </c>
      <c r="E87" s="272">
        <v>58.7121</v>
      </c>
      <c r="F87" s="273">
        <v>18.053000000000001</v>
      </c>
      <c r="G87" s="274">
        <v>2.72</v>
      </c>
      <c r="H87" s="275">
        <v>2.94</v>
      </c>
      <c r="I87" s="274">
        <v>6.12</v>
      </c>
      <c r="J87" s="275">
        <v>11.23</v>
      </c>
      <c r="K87" s="275">
        <v>3.7469999999999999</v>
      </c>
      <c r="L87" s="275">
        <v>7.913978494623656</v>
      </c>
      <c r="M87" s="275">
        <v>-16.090000190734862</v>
      </c>
      <c r="N87" s="322"/>
      <c r="O87" s="262"/>
      <c r="P87" s="263"/>
      <c r="Q87" s="263"/>
      <c r="R87" s="276"/>
      <c r="S87" s="277"/>
      <c r="T87" s="277"/>
      <c r="U87" s="242"/>
      <c r="V87" s="262"/>
      <c r="W87" s="263"/>
      <c r="X87" s="263"/>
      <c r="AA87" s="386"/>
      <c r="AB87" s="386"/>
      <c r="AC87" s="386"/>
      <c r="AD87" s="386"/>
      <c r="AE87" s="386"/>
      <c r="AF87" s="386"/>
      <c r="AG87" s="386"/>
      <c r="AH87" s="386"/>
      <c r="AI87" s="386"/>
      <c r="AJ87" s="323"/>
      <c r="AK87" s="324"/>
      <c r="AU87" s="386"/>
      <c r="AV87" s="386"/>
      <c r="AW87" s="386"/>
      <c r="AX87" s="386"/>
      <c r="AY87" s="386"/>
      <c r="AZ87" s="386"/>
      <c r="BA87" s="386"/>
      <c r="BB87" s="386"/>
      <c r="BC87" s="386"/>
      <c r="BD87" s="386"/>
      <c r="BE87" s="386"/>
      <c r="BF87" s="323"/>
      <c r="BG87" s="324"/>
      <c r="BK87" s="230">
        <f t="shared" ref="BK87:BK95" si="24">AA60</f>
        <v>440</v>
      </c>
      <c r="BL87" s="343">
        <f t="shared" ref="BL87:BL95" si="25">MIN(AI60/2-AE60/2,AI60)</f>
        <v>-20</v>
      </c>
      <c r="BM87" s="230">
        <f>-BK95</f>
        <v>-1280</v>
      </c>
      <c r="BN87" s="230">
        <f>BL95</f>
        <v>-4</v>
      </c>
      <c r="BP87" s="230">
        <f t="shared" ref="BP87:BP95" si="26">AA60</f>
        <v>440</v>
      </c>
      <c r="BQ87" s="230">
        <f t="shared" ref="BQ87:BQ95" si="27">AI60/2-AE60/2</f>
        <v>-7.3292682926829276</v>
      </c>
      <c r="BR87" s="230">
        <f>-BP95</f>
        <v>-1280</v>
      </c>
      <c r="BS87" s="230">
        <f>BQ95</f>
        <v>-1.9595959595959593</v>
      </c>
      <c r="CF87" s="278">
        <v>1.0099999999999998</v>
      </c>
      <c r="CG87" s="275">
        <v>11.23</v>
      </c>
    </row>
    <row r="88" spans="1:85" ht="18" customHeight="1" x14ac:dyDescent="0.2">
      <c r="A88" s="279"/>
      <c r="B88" s="280">
        <v>545</v>
      </c>
      <c r="C88" s="281">
        <v>403.51299999999998</v>
      </c>
      <c r="D88" s="282">
        <v>413.5428</v>
      </c>
      <c r="E88" s="283">
        <v>66.959000000000003</v>
      </c>
      <c r="F88" s="284">
        <v>27.263000000000002</v>
      </c>
      <c r="G88" s="285">
        <v>3.09</v>
      </c>
      <c r="H88" s="286">
        <v>3.35</v>
      </c>
      <c r="I88" s="285">
        <v>5.77</v>
      </c>
      <c r="J88" s="286">
        <v>11</v>
      </c>
      <c r="K88" s="286">
        <v>4.423</v>
      </c>
      <c r="L88" s="286">
        <v>7.8129032258064504</v>
      </c>
      <c r="M88" s="286">
        <v>-15.730000190734863</v>
      </c>
      <c r="N88" s="322"/>
      <c r="O88" s="234"/>
      <c r="P88" s="234"/>
      <c r="Q88" s="234"/>
      <c r="R88" s="241"/>
      <c r="S88" s="241"/>
      <c r="T88" s="241"/>
      <c r="U88" s="242"/>
      <c r="V88" s="234"/>
      <c r="W88" s="234"/>
      <c r="X88" s="234"/>
      <c r="AA88" s="386"/>
      <c r="AB88" s="386"/>
      <c r="AC88" s="386"/>
      <c r="AD88" s="386"/>
      <c r="AE88" s="386"/>
      <c r="AF88" s="386"/>
      <c r="AG88" s="386"/>
      <c r="AH88" s="386"/>
      <c r="AI88" s="386"/>
      <c r="AJ88" s="323"/>
      <c r="AK88" s="324"/>
      <c r="AU88" s="386"/>
      <c r="AV88" s="386"/>
      <c r="AW88" s="386"/>
      <c r="AX88" s="386"/>
      <c r="AY88" s="386"/>
      <c r="AZ88" s="386"/>
      <c r="BA88" s="386"/>
      <c r="BB88" s="386"/>
      <c r="BC88" s="386"/>
      <c r="BD88" s="386"/>
      <c r="BE88" s="386"/>
      <c r="BF88" s="323"/>
      <c r="BG88" s="324"/>
      <c r="BK88" s="230">
        <f t="shared" si="24"/>
        <v>545</v>
      </c>
      <c r="BL88" s="343">
        <f t="shared" si="25"/>
        <v>-20</v>
      </c>
      <c r="BM88" s="230">
        <f>-BK94</f>
        <v>-1175</v>
      </c>
      <c r="BN88" s="230">
        <f>BL94</f>
        <v>-4.2448979591836746</v>
      </c>
      <c r="BP88" s="230">
        <f t="shared" si="26"/>
        <v>545</v>
      </c>
      <c r="BQ88" s="230">
        <f t="shared" si="27"/>
        <v>-8.2068965517241388</v>
      </c>
      <c r="BR88" s="230">
        <f>-BP94</f>
        <v>-1175</v>
      </c>
      <c r="BS88" s="230">
        <f>BQ94</f>
        <v>-2.0000000000000018</v>
      </c>
      <c r="CF88" s="287">
        <v>0.53999999999999915</v>
      </c>
      <c r="CG88" s="286">
        <v>11</v>
      </c>
    </row>
    <row r="89" spans="1:85" ht="18" customHeight="1" x14ac:dyDescent="0.2">
      <c r="A89" s="279"/>
      <c r="B89" s="280">
        <v>650</v>
      </c>
      <c r="C89" s="281">
        <v>508.51299999999998</v>
      </c>
      <c r="D89" s="282">
        <v>518.54279999999994</v>
      </c>
      <c r="E89" s="283">
        <v>72.247500000000002</v>
      </c>
      <c r="F89" s="284">
        <v>36.631999999999998</v>
      </c>
      <c r="G89" s="285">
        <v>3.31</v>
      </c>
      <c r="H89" s="286">
        <v>3.61</v>
      </c>
      <c r="I89" s="285">
        <v>5.54</v>
      </c>
      <c r="J89" s="286">
        <v>10.85</v>
      </c>
      <c r="K89" s="286">
        <v>5.1070000000000002</v>
      </c>
      <c r="L89" s="286">
        <v>7.7010752688172044</v>
      </c>
      <c r="M89" s="286">
        <v>-15.480000190734863</v>
      </c>
      <c r="N89" s="322"/>
      <c r="O89" s="234"/>
      <c r="P89" s="234"/>
      <c r="Q89" s="234"/>
      <c r="R89" s="241"/>
      <c r="S89" s="241"/>
      <c r="T89" s="241"/>
      <c r="U89" s="242"/>
      <c r="V89" s="234"/>
      <c r="W89" s="234"/>
      <c r="X89" s="234"/>
      <c r="AA89" s="386"/>
      <c r="AB89" s="386"/>
      <c r="AC89" s="386"/>
      <c r="AD89" s="386"/>
      <c r="AE89" s="386"/>
      <c r="AF89" s="386"/>
      <c r="AG89" s="386"/>
      <c r="AH89" s="386"/>
      <c r="AI89" s="386"/>
      <c r="AJ89" s="323"/>
      <c r="AK89" s="324"/>
      <c r="AU89" s="386"/>
      <c r="AV89" s="386"/>
      <c r="AW89" s="386"/>
      <c r="AX89" s="386"/>
      <c r="AY89" s="386"/>
      <c r="AZ89" s="386"/>
      <c r="BA89" s="386"/>
      <c r="BB89" s="386"/>
      <c r="BC89" s="386"/>
      <c r="BD89" s="386"/>
      <c r="BE89" s="386"/>
      <c r="BF89" s="323"/>
      <c r="BG89" s="324"/>
      <c r="BK89" s="230">
        <f t="shared" si="24"/>
        <v>650</v>
      </c>
      <c r="BL89" s="343">
        <f t="shared" si="25"/>
        <v>-6.087912087912084</v>
      </c>
      <c r="BM89" s="230">
        <f>-BK93</f>
        <v>-1070</v>
      </c>
      <c r="BN89" s="230">
        <f>BL93</f>
        <v>-4.4742268041237097</v>
      </c>
      <c r="BP89" s="230">
        <f t="shared" si="26"/>
        <v>650</v>
      </c>
      <c r="BQ89" s="230">
        <f t="shared" si="27"/>
        <v>-1.7995115995115967</v>
      </c>
      <c r="BR89" s="230">
        <f>-BP93</f>
        <v>-1070</v>
      </c>
      <c r="BS89" s="230">
        <f>BQ93</f>
        <v>-1.9999999999999982</v>
      </c>
      <c r="CF89" s="287">
        <v>0.23000000000000043</v>
      </c>
      <c r="CG89" s="286">
        <v>10.85</v>
      </c>
    </row>
    <row r="90" spans="1:85" ht="18" customHeight="1" x14ac:dyDescent="0.2">
      <c r="A90" s="279"/>
      <c r="B90" s="280">
        <v>755</v>
      </c>
      <c r="C90" s="281">
        <v>613.51300000000003</v>
      </c>
      <c r="D90" s="282">
        <v>623.54279999999994</v>
      </c>
      <c r="E90" s="283">
        <v>75.926199999999994</v>
      </c>
      <c r="F90" s="284">
        <v>46.116</v>
      </c>
      <c r="G90" s="285">
        <v>3.46</v>
      </c>
      <c r="H90" s="286">
        <v>3.8</v>
      </c>
      <c r="I90" s="285">
        <v>5.38</v>
      </c>
      <c r="J90" s="286">
        <v>10.76</v>
      </c>
      <c r="K90" s="286">
        <v>5.7949999999999999</v>
      </c>
      <c r="L90" s="286">
        <v>7.5806451612903221</v>
      </c>
      <c r="M90" s="286">
        <v>-15.270000190734864</v>
      </c>
      <c r="N90" s="322"/>
      <c r="O90" s="234"/>
      <c r="P90" s="234"/>
      <c r="Q90" s="234"/>
      <c r="R90" s="241"/>
      <c r="S90" s="241"/>
      <c r="T90" s="241"/>
      <c r="U90" s="242"/>
      <c r="V90" s="234"/>
      <c r="W90" s="234"/>
      <c r="X90" s="234"/>
      <c r="AA90" s="386"/>
      <c r="AB90" s="386"/>
      <c r="AC90" s="386"/>
      <c r="AD90" s="386"/>
      <c r="AE90" s="386"/>
      <c r="AF90" s="386"/>
      <c r="AG90" s="386"/>
      <c r="AH90" s="386"/>
      <c r="AI90" s="386"/>
      <c r="AJ90" s="323"/>
      <c r="AK90" s="324"/>
      <c r="AU90" s="386"/>
      <c r="AV90" s="386"/>
      <c r="AW90" s="386"/>
      <c r="AX90" s="386"/>
      <c r="AY90" s="386"/>
      <c r="AZ90" s="386"/>
      <c r="BA90" s="386"/>
      <c r="BB90" s="386"/>
      <c r="BC90" s="386"/>
      <c r="BD90" s="386"/>
      <c r="BE90" s="386"/>
      <c r="BF90" s="323"/>
      <c r="BG90" s="324"/>
      <c r="BK90" s="230">
        <f t="shared" si="24"/>
        <v>755</v>
      </c>
      <c r="BL90" s="343">
        <f t="shared" si="25"/>
        <v>-5.5268817204301062</v>
      </c>
      <c r="BM90" s="230">
        <f>-BK92</f>
        <v>-965</v>
      </c>
      <c r="BN90" s="230">
        <f>BL92</f>
        <v>-4.7708333333333357</v>
      </c>
      <c r="BP90" s="230">
        <f t="shared" si="26"/>
        <v>755</v>
      </c>
      <c r="BQ90" s="230">
        <f t="shared" si="27"/>
        <v>-1.9032258064516121</v>
      </c>
      <c r="BR90" s="230">
        <f>-BP92</f>
        <v>-965</v>
      </c>
      <c r="BS90" s="230">
        <f>BQ92</f>
        <v>-2.0000000000000018</v>
      </c>
      <c r="CF90" s="287">
        <v>0</v>
      </c>
      <c r="CG90" s="286">
        <v>10.76</v>
      </c>
    </row>
    <row r="91" spans="1:85" ht="18" customHeight="1" x14ac:dyDescent="0.2">
      <c r="A91" s="279"/>
      <c r="B91" s="280">
        <v>860</v>
      </c>
      <c r="C91" s="281">
        <v>718.51300000000003</v>
      </c>
      <c r="D91" s="282">
        <v>728.54280000000006</v>
      </c>
      <c r="E91" s="283">
        <v>78.631199999999993</v>
      </c>
      <c r="F91" s="284">
        <v>55.694000000000003</v>
      </c>
      <c r="G91" s="285">
        <v>3.57</v>
      </c>
      <c r="H91" s="286">
        <v>3.93</v>
      </c>
      <c r="I91" s="285">
        <v>5.26</v>
      </c>
      <c r="J91" s="286">
        <v>10.68</v>
      </c>
      <c r="K91" s="286">
        <v>6.4850000000000003</v>
      </c>
      <c r="L91" s="286">
        <v>7.4505376344086018</v>
      </c>
      <c r="M91" s="286">
        <v>-15.080000190734863</v>
      </c>
      <c r="N91" s="322"/>
      <c r="O91" s="262"/>
      <c r="P91" s="263"/>
      <c r="Q91" s="263"/>
      <c r="R91" s="264"/>
      <c r="S91" s="264"/>
      <c r="T91" s="264"/>
      <c r="U91" s="242"/>
      <c r="V91" s="262"/>
      <c r="W91" s="263"/>
      <c r="X91" s="263"/>
      <c r="AA91" s="386"/>
      <c r="AB91" s="386"/>
      <c r="AC91" s="386"/>
      <c r="AD91" s="386"/>
      <c r="AE91" s="386"/>
      <c r="AF91" s="386"/>
      <c r="AG91" s="386"/>
      <c r="AH91" s="386"/>
      <c r="AI91" s="386"/>
      <c r="AJ91" s="323"/>
      <c r="AK91" s="324"/>
      <c r="AU91" s="386"/>
      <c r="AV91" s="386"/>
      <c r="AW91" s="386"/>
      <c r="AX91" s="386"/>
      <c r="AY91" s="386"/>
      <c r="AZ91" s="386"/>
      <c r="BA91" s="386"/>
      <c r="BB91" s="386"/>
      <c r="BC91" s="386"/>
      <c r="BD91" s="386"/>
      <c r="BE91" s="386"/>
      <c r="BF91" s="323"/>
      <c r="BG91" s="324"/>
      <c r="BK91" s="230">
        <f t="shared" si="24"/>
        <v>860</v>
      </c>
      <c r="BL91" s="343">
        <f t="shared" si="25"/>
        <v>-5.1157894736842096</v>
      </c>
      <c r="BM91" s="230">
        <f>-BK91</f>
        <v>-860</v>
      </c>
      <c r="BN91" s="230">
        <f>BL91</f>
        <v>-5.1157894736842096</v>
      </c>
      <c r="BP91" s="230">
        <f t="shared" si="26"/>
        <v>860</v>
      </c>
      <c r="BQ91" s="230">
        <f t="shared" si="27"/>
        <v>-1.9727883538633817</v>
      </c>
      <c r="BR91" s="230">
        <f>-BP91</f>
        <v>-860</v>
      </c>
      <c r="BS91" s="230">
        <f>BQ91</f>
        <v>-1.9727883538633817</v>
      </c>
      <c r="CF91" s="287">
        <v>-0.16999999999999993</v>
      </c>
      <c r="CG91" s="286">
        <v>10.69</v>
      </c>
    </row>
    <row r="92" spans="1:85" ht="18" customHeight="1" x14ac:dyDescent="0.2">
      <c r="A92" s="279"/>
      <c r="B92" s="280">
        <v>965</v>
      </c>
      <c r="C92" s="281">
        <v>823.51300000000003</v>
      </c>
      <c r="D92" s="282">
        <v>833.54280000000006</v>
      </c>
      <c r="E92" s="283">
        <v>80.694500000000005</v>
      </c>
      <c r="F92" s="284">
        <v>65.349000000000004</v>
      </c>
      <c r="G92" s="285">
        <v>3.64</v>
      </c>
      <c r="H92" s="286">
        <v>4.03</v>
      </c>
      <c r="I92" s="285">
        <v>5.16</v>
      </c>
      <c r="J92" s="286">
        <v>10.62</v>
      </c>
      <c r="K92" s="286">
        <v>7.1760000000000002</v>
      </c>
      <c r="L92" s="286">
        <v>7.3096774193548377</v>
      </c>
      <c r="M92" s="286">
        <v>-14.910000190734863</v>
      </c>
      <c r="N92" s="322"/>
      <c r="O92" s="262"/>
      <c r="P92" s="263"/>
      <c r="Q92" s="263"/>
      <c r="R92" s="276"/>
      <c r="S92" s="277"/>
      <c r="T92" s="277"/>
      <c r="U92" s="242"/>
      <c r="V92" s="262"/>
      <c r="W92" s="263"/>
      <c r="X92" s="263"/>
      <c r="AA92" s="386"/>
      <c r="AB92" s="386"/>
      <c r="AC92" s="386"/>
      <c r="AD92" s="386"/>
      <c r="AE92" s="386"/>
      <c r="AF92" s="386"/>
      <c r="AG92" s="386"/>
      <c r="AH92" s="386"/>
      <c r="AI92" s="386"/>
      <c r="AJ92" s="323"/>
      <c r="AK92" s="324"/>
      <c r="AU92" s="386"/>
      <c r="AV92" s="386"/>
      <c r="AW92" s="386"/>
      <c r="AX92" s="386"/>
      <c r="AY92" s="386"/>
      <c r="AZ92" s="386"/>
      <c r="BA92" s="386"/>
      <c r="BB92" s="386"/>
      <c r="BC92" s="386"/>
      <c r="BD92" s="386"/>
      <c r="BE92" s="386"/>
      <c r="BF92" s="323"/>
      <c r="BG92" s="324"/>
      <c r="BK92" s="230">
        <f t="shared" si="24"/>
        <v>965</v>
      </c>
      <c r="BL92" s="343">
        <f t="shared" si="25"/>
        <v>-4.7708333333333357</v>
      </c>
      <c r="BM92" s="230">
        <f>-BK90</f>
        <v>-755</v>
      </c>
      <c r="BN92" s="230">
        <f>BL90</f>
        <v>-5.5268817204301062</v>
      </c>
      <c r="BP92" s="230">
        <f t="shared" si="26"/>
        <v>965</v>
      </c>
      <c r="BQ92" s="230">
        <f t="shared" si="27"/>
        <v>-2.0000000000000018</v>
      </c>
      <c r="BR92" s="230">
        <f>-BP90</f>
        <v>-755</v>
      </c>
      <c r="BS92" s="230">
        <f>BQ90</f>
        <v>-1.9032258064516121</v>
      </c>
      <c r="CF92" s="287">
        <v>-0.29999999999999982</v>
      </c>
      <c r="CG92" s="286">
        <v>10.620000000000001</v>
      </c>
    </row>
    <row r="93" spans="1:85" ht="18" customHeight="1" x14ac:dyDescent="0.2">
      <c r="A93" s="279"/>
      <c r="B93" s="280">
        <v>1070</v>
      </c>
      <c r="C93" s="281">
        <v>928.51300000000003</v>
      </c>
      <c r="D93" s="282">
        <v>938.54280000000006</v>
      </c>
      <c r="E93" s="283">
        <v>82.303200000000004</v>
      </c>
      <c r="F93" s="284">
        <v>75.064999999999998</v>
      </c>
      <c r="G93" s="285">
        <v>3.7</v>
      </c>
      <c r="H93" s="286">
        <v>4.12</v>
      </c>
      <c r="I93" s="285">
        <v>5.09</v>
      </c>
      <c r="J93" s="286">
        <v>10.56</v>
      </c>
      <c r="K93" s="286">
        <v>7.867</v>
      </c>
      <c r="L93" s="286">
        <v>7.1634408602150534</v>
      </c>
      <c r="M93" s="286">
        <v>-14.750000190734863</v>
      </c>
      <c r="N93" s="322"/>
      <c r="O93" s="262"/>
      <c r="P93" s="263"/>
      <c r="Q93" s="263"/>
      <c r="R93" s="276"/>
      <c r="S93" s="277"/>
      <c r="T93" s="277"/>
      <c r="U93" s="242"/>
      <c r="V93" s="262"/>
      <c r="W93" s="263"/>
      <c r="X93" s="263"/>
      <c r="AA93" s="386"/>
      <c r="AB93" s="386"/>
      <c r="AC93" s="386"/>
      <c r="AD93" s="386"/>
      <c r="AE93" s="386"/>
      <c r="AF93" s="386"/>
      <c r="AG93" s="386"/>
      <c r="AH93" s="386"/>
      <c r="AI93" s="386"/>
      <c r="AJ93" s="323"/>
      <c r="AK93" s="324"/>
      <c r="AU93" s="386"/>
      <c r="AV93" s="386"/>
      <c r="AW93" s="386"/>
      <c r="AX93" s="386"/>
      <c r="AY93" s="386"/>
      <c r="AZ93" s="386"/>
      <c r="BA93" s="386"/>
      <c r="BB93" s="386"/>
      <c r="BC93" s="386"/>
      <c r="BD93" s="386"/>
      <c r="BE93" s="386"/>
      <c r="BF93" s="323"/>
      <c r="BG93" s="324"/>
      <c r="BK93" s="230">
        <f t="shared" si="24"/>
        <v>1070</v>
      </c>
      <c r="BL93" s="343">
        <f t="shared" si="25"/>
        <v>-4.4742268041237097</v>
      </c>
      <c r="BM93" s="230">
        <f>-BK89</f>
        <v>-650</v>
      </c>
      <c r="BN93" s="230">
        <f>BL89</f>
        <v>-6.087912087912084</v>
      </c>
      <c r="BP93" s="230">
        <f t="shared" si="26"/>
        <v>1070</v>
      </c>
      <c r="BQ93" s="230">
        <f t="shared" si="27"/>
        <v>-1.9999999999999982</v>
      </c>
      <c r="BR93" s="230">
        <f>-BP89</f>
        <v>-650</v>
      </c>
      <c r="BS93" s="230">
        <f>BQ89</f>
        <v>-1.7995115995115967</v>
      </c>
      <c r="CF93" s="287">
        <v>-0.37999999999999989</v>
      </c>
      <c r="CG93" s="286">
        <v>10.559999999999999</v>
      </c>
    </row>
    <row r="94" spans="1:85" ht="18" customHeight="1" x14ac:dyDescent="0.2">
      <c r="A94" s="362"/>
      <c r="B94" s="280">
        <v>1175</v>
      </c>
      <c r="C94" s="281">
        <v>1033.5129999999999</v>
      </c>
      <c r="D94" s="282">
        <v>1043.5429999999999</v>
      </c>
      <c r="E94" s="363">
        <v>83.570599999999985</v>
      </c>
      <c r="F94" s="364">
        <v>84.823999999999998</v>
      </c>
      <c r="G94" s="365">
        <v>3.74</v>
      </c>
      <c r="H94" s="366">
        <v>4.18</v>
      </c>
      <c r="I94" s="365">
        <v>5.03</v>
      </c>
      <c r="J94" s="366">
        <v>10.5</v>
      </c>
      <c r="K94" s="286">
        <v>8.5589999999999993</v>
      </c>
      <c r="L94" s="286">
        <v>7.0139784946236556</v>
      </c>
      <c r="M94" s="286">
        <v>-14.580000190734863</v>
      </c>
      <c r="N94" s="322"/>
      <c r="O94" s="262"/>
      <c r="P94" s="263"/>
      <c r="Q94" s="263"/>
      <c r="R94" s="276"/>
      <c r="S94" s="277"/>
      <c r="T94" s="277"/>
      <c r="U94" s="242"/>
      <c r="V94" s="262"/>
      <c r="W94" s="263"/>
      <c r="X94" s="263"/>
      <c r="AA94" s="386"/>
      <c r="AB94" s="386"/>
      <c r="AC94" s="386"/>
      <c r="AD94" s="386"/>
      <c r="AE94" s="386"/>
      <c r="AF94" s="386"/>
      <c r="AG94" s="386"/>
      <c r="AH94" s="386"/>
      <c r="AI94" s="386"/>
      <c r="AJ94" s="323"/>
      <c r="AK94" s="324"/>
      <c r="AU94" s="386"/>
      <c r="AV94" s="386"/>
      <c r="AW94" s="386"/>
      <c r="AX94" s="386"/>
      <c r="AY94" s="386"/>
      <c r="AZ94" s="386"/>
      <c r="BA94" s="386"/>
      <c r="BB94" s="386"/>
      <c r="BC94" s="386"/>
      <c r="BD94" s="386"/>
      <c r="BE94" s="386"/>
      <c r="BF94" s="323"/>
      <c r="BG94" s="324"/>
      <c r="BK94" s="230">
        <f t="shared" si="24"/>
        <v>1175</v>
      </c>
      <c r="BL94" s="343">
        <f t="shared" si="25"/>
        <v>-4.2448979591836746</v>
      </c>
      <c r="BM94" s="230">
        <f>-BK88</f>
        <v>-545</v>
      </c>
      <c r="BN94" s="230">
        <f>BL88</f>
        <v>-20</v>
      </c>
      <c r="BP94" s="230">
        <f t="shared" si="26"/>
        <v>1175</v>
      </c>
      <c r="BQ94" s="230">
        <f t="shared" si="27"/>
        <v>-2.0000000000000018</v>
      </c>
      <c r="BR94" s="230">
        <f>-BP88</f>
        <v>-545</v>
      </c>
      <c r="BS94" s="230">
        <f>BQ88</f>
        <v>-8.2068965517241388</v>
      </c>
      <c r="CF94" s="287">
        <v>-0.45000000000000018</v>
      </c>
      <c r="CG94" s="286">
        <v>10.510000000000002</v>
      </c>
    </row>
    <row r="95" spans="1:85" ht="18" customHeight="1" thickBot="1" x14ac:dyDescent="0.25">
      <c r="A95" s="367"/>
      <c r="B95" s="292">
        <v>1280</v>
      </c>
      <c r="C95" s="368">
        <v>1138.5129999999999</v>
      </c>
      <c r="D95" s="369">
        <v>1148.5429999999999</v>
      </c>
      <c r="E95" s="370">
        <v>84.570300000000003</v>
      </c>
      <c r="F95" s="371">
        <v>94.606999999999999</v>
      </c>
      <c r="G95" s="372">
        <v>3.78</v>
      </c>
      <c r="H95" s="373">
        <v>4.2300000000000004</v>
      </c>
      <c r="I95" s="372">
        <v>4.97</v>
      </c>
      <c r="J95" s="373">
        <v>10.45</v>
      </c>
      <c r="K95" s="298">
        <v>9.25</v>
      </c>
      <c r="L95" s="298">
        <v>6.8634408602150536</v>
      </c>
      <c r="M95" s="298">
        <v>-14.430000190734862</v>
      </c>
      <c r="N95" s="322"/>
      <c r="O95" s="262"/>
      <c r="P95" s="263"/>
      <c r="Q95" s="263"/>
      <c r="R95" s="276"/>
      <c r="S95" s="277"/>
      <c r="T95" s="277"/>
      <c r="U95" s="242"/>
      <c r="V95" s="262"/>
      <c r="W95" s="263"/>
      <c r="X95" s="263"/>
      <c r="AA95" s="386"/>
      <c r="AB95" s="386"/>
      <c r="AC95" s="386"/>
      <c r="AD95" s="386"/>
      <c r="AE95" s="386"/>
      <c r="AF95" s="386"/>
      <c r="AG95" s="386"/>
      <c r="AH95" s="386"/>
      <c r="AI95" s="386"/>
      <c r="AJ95" s="323"/>
      <c r="AK95" s="324"/>
      <c r="AU95" s="386"/>
      <c r="AV95" s="386"/>
      <c r="AW95" s="386"/>
      <c r="AX95" s="386"/>
      <c r="AY95" s="386"/>
      <c r="AZ95" s="386"/>
      <c r="BA95" s="386"/>
      <c r="BB95" s="386"/>
      <c r="BC95" s="386"/>
      <c r="BD95" s="386"/>
      <c r="BE95" s="386"/>
      <c r="BF95" s="323"/>
      <c r="BG95" s="324"/>
      <c r="BK95" s="230">
        <f t="shared" si="24"/>
        <v>1280</v>
      </c>
      <c r="BL95" s="343">
        <f t="shared" si="25"/>
        <v>-4</v>
      </c>
      <c r="BM95" s="230">
        <f>-BK87</f>
        <v>-440</v>
      </c>
      <c r="BN95" s="230">
        <f>BL87</f>
        <v>-20</v>
      </c>
      <c r="BP95" s="230">
        <f t="shared" si="26"/>
        <v>1280</v>
      </c>
      <c r="BQ95" s="230">
        <f t="shared" si="27"/>
        <v>-1.9595959595959593</v>
      </c>
      <c r="BR95" s="230">
        <f>-BP87</f>
        <v>-440</v>
      </c>
      <c r="BS95" s="230">
        <f>BQ87</f>
        <v>-7.3292682926829276</v>
      </c>
      <c r="CF95" s="299">
        <v>-0.5</v>
      </c>
      <c r="CG95" s="298">
        <v>10.44</v>
      </c>
    </row>
    <row r="96" spans="1:85" ht="18" customHeight="1" x14ac:dyDescent="0.2">
      <c r="A96" s="268">
        <v>10</v>
      </c>
      <c r="B96" s="269">
        <v>440</v>
      </c>
      <c r="C96" s="270">
        <v>298.51299999999998</v>
      </c>
      <c r="D96" s="271">
        <v>308.5428</v>
      </c>
      <c r="E96" s="272">
        <v>81.751499999999993</v>
      </c>
      <c r="F96" s="273">
        <v>25.189</v>
      </c>
      <c r="G96" s="274">
        <v>3.87</v>
      </c>
      <c r="H96" s="275">
        <v>4.09</v>
      </c>
      <c r="I96" s="274">
        <v>6.94</v>
      </c>
      <c r="J96" s="275">
        <v>12.06</v>
      </c>
      <c r="K96" s="275">
        <v>3.8180000000000001</v>
      </c>
      <c r="L96" s="275">
        <v>7.913978494623656</v>
      </c>
      <c r="M96" s="275">
        <v>-18.310000190734861</v>
      </c>
      <c r="N96" s="322"/>
      <c r="O96" s="262"/>
      <c r="P96" s="263"/>
      <c r="Q96" s="263"/>
      <c r="R96" s="276"/>
      <c r="S96" s="277"/>
      <c r="T96" s="277"/>
      <c r="U96" s="242"/>
      <c r="V96" s="262"/>
      <c r="W96" s="263"/>
      <c r="X96" s="263"/>
      <c r="AA96" s="323"/>
      <c r="AB96" s="323"/>
      <c r="AC96" s="386"/>
      <c r="AD96" s="386"/>
      <c r="AE96" s="386"/>
      <c r="AF96" s="386"/>
      <c r="AG96" s="386"/>
      <c r="AH96" s="386"/>
      <c r="AI96" s="386"/>
      <c r="AJ96" s="323"/>
      <c r="AK96" s="324"/>
      <c r="AU96" s="323"/>
      <c r="AV96" s="323"/>
      <c r="AW96" s="386"/>
      <c r="AX96" s="386"/>
      <c r="AY96" s="386"/>
      <c r="AZ96" s="386"/>
      <c r="BA96" s="386"/>
      <c r="BB96" s="386"/>
      <c r="BC96" s="386"/>
      <c r="BD96" s="386"/>
      <c r="BE96" s="386"/>
      <c r="BF96" s="323"/>
      <c r="BG96" s="324"/>
      <c r="BJ96" s="230">
        <f>BJ69</f>
        <v>1</v>
      </c>
      <c r="BK96" s="343">
        <f>BK95+(BK95-BK94)*BJ96</f>
        <v>1385</v>
      </c>
      <c r="BL96" s="343">
        <f>BL95+(BL95-BL94)*BJ96</f>
        <v>-3.7551020408163254</v>
      </c>
      <c r="BM96" s="343">
        <f>BM95+(BM95-BM94)*BJ86</f>
        <v>-335</v>
      </c>
      <c r="BN96" s="343">
        <f>BN95+(BN95-BN94)*BJ86</f>
        <v>-20</v>
      </c>
      <c r="BO96" s="230">
        <f>BO69</f>
        <v>1</v>
      </c>
      <c r="BP96" s="343">
        <f>BP95+(BP95-BP94)*BO96</f>
        <v>1385</v>
      </c>
      <c r="BQ96" s="343">
        <f>BQ95+(BQ95-BQ94)*BO96</f>
        <v>-1.9191919191919169</v>
      </c>
      <c r="BR96" s="343">
        <f>BR95+(BR95-BR94)*BO86</f>
        <v>-335</v>
      </c>
      <c r="BS96" s="343">
        <f>BS95+(BS95-BS94)*BO86</f>
        <v>-6.4516400336417163</v>
      </c>
      <c r="CF96" s="278">
        <v>1.83</v>
      </c>
      <c r="CG96" s="275">
        <v>12.05</v>
      </c>
    </row>
    <row r="97" spans="1:85" ht="18" customHeight="1" x14ac:dyDescent="0.2">
      <c r="A97" s="279"/>
      <c r="B97" s="280">
        <v>545</v>
      </c>
      <c r="C97" s="281">
        <v>403.51299999999998</v>
      </c>
      <c r="D97" s="282">
        <v>413.5428</v>
      </c>
      <c r="E97" s="283">
        <v>89.666499999999999</v>
      </c>
      <c r="F97" s="284">
        <v>36.546999999999997</v>
      </c>
      <c r="G97" s="285">
        <v>4.22</v>
      </c>
      <c r="H97" s="286">
        <v>4.4800000000000004</v>
      </c>
      <c r="I97" s="285">
        <v>6.64</v>
      </c>
      <c r="J97" s="286">
        <v>11.87</v>
      </c>
      <c r="K97" s="286">
        <v>4.4980000000000002</v>
      </c>
      <c r="L97" s="286">
        <v>7.8129032258064504</v>
      </c>
      <c r="M97" s="286">
        <v>-17.960000190734863</v>
      </c>
      <c r="N97" s="322"/>
      <c r="O97" s="262"/>
      <c r="P97" s="263"/>
      <c r="Q97" s="263"/>
      <c r="R97" s="276"/>
      <c r="S97" s="277"/>
      <c r="T97" s="277"/>
      <c r="U97" s="242"/>
      <c r="V97" s="262"/>
      <c r="W97" s="263"/>
      <c r="X97" s="263"/>
      <c r="AA97" s="323"/>
      <c r="AB97" s="323"/>
      <c r="AC97" s="386"/>
      <c r="AD97" s="386"/>
      <c r="AE97" s="386"/>
      <c r="AF97" s="386"/>
      <c r="AG97" s="386"/>
      <c r="AH97" s="386"/>
      <c r="AI97" s="386"/>
      <c r="AJ97" s="323"/>
      <c r="AK97" s="324"/>
      <c r="AU97" s="323"/>
      <c r="AV97" s="323"/>
      <c r="AW97" s="386"/>
      <c r="AX97" s="386"/>
      <c r="AY97" s="386"/>
      <c r="AZ97" s="386"/>
      <c r="BA97" s="386"/>
      <c r="BB97" s="386"/>
      <c r="BC97" s="386"/>
      <c r="BD97" s="386"/>
      <c r="BE97" s="386"/>
      <c r="BF97" s="323"/>
      <c r="BG97" s="324"/>
      <c r="CF97" s="287">
        <v>1.4099999999999993</v>
      </c>
      <c r="CG97" s="286">
        <v>11.870000000000001</v>
      </c>
    </row>
    <row r="98" spans="1:85" ht="18" customHeight="1" x14ac:dyDescent="0.2">
      <c r="A98" s="279"/>
      <c r="B98" s="280">
        <v>650</v>
      </c>
      <c r="C98" s="281">
        <v>508.51299999999998</v>
      </c>
      <c r="D98" s="282">
        <v>518.54279999999994</v>
      </c>
      <c r="E98" s="283">
        <v>94.723900000000015</v>
      </c>
      <c r="F98" s="284">
        <v>48.061</v>
      </c>
      <c r="G98" s="285">
        <v>4.43</v>
      </c>
      <c r="H98" s="286">
        <v>4.74</v>
      </c>
      <c r="I98" s="285">
        <v>6.44</v>
      </c>
      <c r="J98" s="286">
        <v>11.76</v>
      </c>
      <c r="K98" s="286">
        <v>5.1840000000000002</v>
      </c>
      <c r="L98" s="286">
        <v>7.7010752688172044</v>
      </c>
      <c r="M98" s="286">
        <v>-17.710000190734863</v>
      </c>
      <c r="N98" s="322"/>
      <c r="O98" s="262"/>
      <c r="P98" s="263"/>
      <c r="Q98" s="263"/>
      <c r="R98" s="276"/>
      <c r="S98" s="277"/>
      <c r="T98" s="277"/>
      <c r="U98" s="242"/>
      <c r="V98" s="262"/>
      <c r="W98" s="263"/>
      <c r="X98" s="263"/>
      <c r="AA98" s="323"/>
      <c r="AB98" s="323"/>
      <c r="AC98" s="386"/>
      <c r="AD98" s="386"/>
      <c r="AE98" s="386"/>
      <c r="AF98" s="386"/>
      <c r="AG98" s="386"/>
      <c r="AH98" s="386"/>
      <c r="AI98" s="386"/>
      <c r="AJ98" s="323"/>
      <c r="AK98" s="324"/>
      <c r="AU98" s="323"/>
      <c r="AV98" s="323"/>
      <c r="AW98" s="386"/>
      <c r="AX98" s="386"/>
      <c r="AY98" s="386"/>
      <c r="AZ98" s="386"/>
      <c r="BA98" s="386"/>
      <c r="BB98" s="386"/>
      <c r="BC98" s="386"/>
      <c r="BD98" s="386"/>
      <c r="BE98" s="386"/>
      <c r="BF98" s="323"/>
      <c r="BG98" s="324"/>
      <c r="CF98" s="287">
        <v>1.1300000000000008</v>
      </c>
      <c r="CG98" s="286">
        <v>11.75</v>
      </c>
    </row>
    <row r="99" spans="1:85" ht="18" customHeight="1" x14ac:dyDescent="0.2">
      <c r="A99" s="279"/>
      <c r="B99" s="280">
        <v>755</v>
      </c>
      <c r="C99" s="281">
        <v>613.51300000000003</v>
      </c>
      <c r="D99" s="282">
        <v>623.54279999999994</v>
      </c>
      <c r="E99" s="283">
        <v>98.222499999999997</v>
      </c>
      <c r="F99" s="284">
        <v>59.686999999999998</v>
      </c>
      <c r="G99" s="285">
        <v>4.58</v>
      </c>
      <c r="H99" s="286">
        <v>4.91</v>
      </c>
      <c r="I99" s="285">
        <v>6.3</v>
      </c>
      <c r="J99" s="286">
        <v>11.68</v>
      </c>
      <c r="K99" s="286">
        <v>5.875</v>
      </c>
      <c r="L99" s="286">
        <v>7.5806451612903221</v>
      </c>
      <c r="M99" s="286">
        <v>-17.500000190734863</v>
      </c>
      <c r="N99" s="322"/>
      <c r="O99" s="262"/>
      <c r="P99" s="263"/>
      <c r="Q99" s="263"/>
      <c r="R99" s="276"/>
      <c r="S99" s="277"/>
      <c r="T99" s="277"/>
      <c r="U99" s="242"/>
      <c r="V99" s="262"/>
      <c r="W99" s="263"/>
      <c r="X99" s="263"/>
      <c r="AA99" s="386"/>
      <c r="AB99" s="386"/>
      <c r="AC99" s="386"/>
      <c r="AD99" s="386"/>
      <c r="AE99" s="386"/>
      <c r="AF99" s="386"/>
      <c r="AG99" s="386"/>
      <c r="AH99" s="386"/>
      <c r="AI99" s="386"/>
      <c r="AJ99" s="323"/>
      <c r="AK99" s="324"/>
      <c r="AU99" s="386"/>
      <c r="AV99" s="386"/>
      <c r="AW99" s="386"/>
      <c r="AX99" s="386"/>
      <c r="AY99" s="386"/>
      <c r="AZ99" s="386"/>
      <c r="BA99" s="386"/>
      <c r="BB99" s="386"/>
      <c r="BC99" s="386"/>
      <c r="BD99" s="386"/>
      <c r="BE99" s="386"/>
      <c r="BF99" s="323"/>
      <c r="BG99" s="324"/>
      <c r="CF99" s="287">
        <v>0.91999999999999993</v>
      </c>
      <c r="CG99" s="286">
        <v>11.68</v>
      </c>
    </row>
    <row r="100" spans="1:85" ht="18" customHeight="1" x14ac:dyDescent="0.2">
      <c r="A100" s="279"/>
      <c r="B100" s="280">
        <v>860</v>
      </c>
      <c r="C100" s="281">
        <v>718.51300000000003</v>
      </c>
      <c r="D100" s="282">
        <v>728.54280000000006</v>
      </c>
      <c r="E100" s="283">
        <v>100.776</v>
      </c>
      <c r="F100" s="284">
        <v>71.403999999999996</v>
      </c>
      <c r="G100" s="285">
        <v>4.67</v>
      </c>
      <c r="H100" s="286">
        <v>5.04</v>
      </c>
      <c r="I100" s="285">
        <v>6.2</v>
      </c>
      <c r="J100" s="286">
        <v>11.63</v>
      </c>
      <c r="K100" s="286">
        <v>6.5659999999999998</v>
      </c>
      <c r="L100" s="286">
        <v>7.4505376344086018</v>
      </c>
      <c r="M100" s="286">
        <v>-17.320000190734863</v>
      </c>
      <c r="N100" s="322"/>
      <c r="O100" s="262"/>
      <c r="P100" s="263"/>
      <c r="Q100" s="263"/>
      <c r="R100" s="276"/>
      <c r="S100" s="277"/>
      <c r="T100" s="277"/>
      <c r="U100" s="242"/>
      <c r="V100" s="262"/>
      <c r="W100" s="263"/>
      <c r="X100" s="263"/>
      <c r="AA100" s="386"/>
      <c r="AB100" s="386"/>
      <c r="AC100" s="386"/>
      <c r="AD100" s="386"/>
      <c r="AE100" s="386"/>
      <c r="AF100" s="386"/>
      <c r="AG100" s="386"/>
      <c r="AH100" s="386"/>
      <c r="AI100" s="386"/>
      <c r="AJ100" s="323"/>
      <c r="AK100" s="324"/>
      <c r="AU100" s="386"/>
      <c r="AV100" s="386"/>
      <c r="AW100" s="386"/>
      <c r="AX100" s="386"/>
      <c r="AY100" s="386"/>
      <c r="AZ100" s="386"/>
      <c r="BA100" s="386"/>
      <c r="BB100" s="386"/>
      <c r="BC100" s="386"/>
      <c r="BD100" s="386"/>
      <c r="BE100" s="386"/>
      <c r="BF100" s="323"/>
      <c r="BG100" s="324"/>
      <c r="CF100" s="287">
        <v>0.77000000000000046</v>
      </c>
      <c r="CG100" s="286">
        <v>11.629999999999999</v>
      </c>
    </row>
    <row r="101" spans="1:85" ht="18" customHeight="1" x14ac:dyDescent="0.2">
      <c r="A101" s="279"/>
      <c r="B101" s="280">
        <v>965</v>
      </c>
      <c r="C101" s="281">
        <v>823.51300000000003</v>
      </c>
      <c r="D101" s="282">
        <v>833.54280000000006</v>
      </c>
      <c r="E101" s="283">
        <v>102.706</v>
      </c>
      <c r="F101" s="284">
        <v>83.197999999999993</v>
      </c>
      <c r="G101" s="285">
        <v>4.74</v>
      </c>
      <c r="H101" s="286">
        <v>5.14</v>
      </c>
      <c r="I101" s="285">
        <v>6.12</v>
      </c>
      <c r="J101" s="286">
        <v>11.58</v>
      </c>
      <c r="K101" s="286">
        <v>7.258</v>
      </c>
      <c r="L101" s="286">
        <v>7.3096774193548377</v>
      </c>
      <c r="M101" s="286">
        <v>-17.140000190734863</v>
      </c>
      <c r="N101" s="322"/>
      <c r="O101" s="262"/>
      <c r="P101" s="263"/>
      <c r="Q101" s="263"/>
      <c r="R101" s="276"/>
      <c r="S101" s="277"/>
      <c r="T101" s="277"/>
      <c r="U101" s="242"/>
      <c r="V101" s="262"/>
      <c r="W101" s="263"/>
      <c r="X101" s="263"/>
      <c r="AA101" s="389" t="s">
        <v>27</v>
      </c>
      <c r="AB101" s="390" t="s">
        <v>126</v>
      </c>
      <c r="AC101" s="389"/>
      <c r="AD101" s="389"/>
      <c r="AE101" s="389"/>
      <c r="AF101" s="389" t="s">
        <v>28</v>
      </c>
      <c r="AG101" s="390" t="s">
        <v>146</v>
      </c>
      <c r="AH101" s="389"/>
      <c r="AI101" s="389"/>
      <c r="AJ101" s="389"/>
      <c r="AK101" s="324"/>
      <c r="AU101" s="389" t="s">
        <v>37</v>
      </c>
      <c r="AV101" s="390" t="str">
        <f>AB101</f>
        <v>1) 2deg Mean Upper Ball and Mean Lower Flex-Joint Angle</v>
      </c>
      <c r="AW101" s="389"/>
      <c r="AX101" s="389"/>
      <c r="AY101" s="389"/>
      <c r="AZ101" s="389"/>
      <c r="BA101" s="391" t="s">
        <v>105</v>
      </c>
      <c r="BB101" s="391"/>
      <c r="BC101" s="391"/>
      <c r="BD101" s="391"/>
      <c r="BE101" s="391"/>
      <c r="BF101" s="391"/>
      <c r="BG101" s="324"/>
      <c r="CF101" s="287">
        <v>0.66000000000000014</v>
      </c>
      <c r="CG101" s="286">
        <v>11.58</v>
      </c>
    </row>
    <row r="102" spans="1:85" ht="18" customHeight="1" x14ac:dyDescent="0.2">
      <c r="A102" s="279"/>
      <c r="B102" s="280">
        <v>1070</v>
      </c>
      <c r="C102" s="281">
        <v>928.51300000000003</v>
      </c>
      <c r="D102" s="282">
        <v>938.54280000000006</v>
      </c>
      <c r="E102" s="283">
        <v>104.193</v>
      </c>
      <c r="F102" s="284">
        <v>95.052000000000007</v>
      </c>
      <c r="G102" s="285">
        <v>4.79</v>
      </c>
      <c r="H102" s="286">
        <v>5.21</v>
      </c>
      <c r="I102" s="285">
        <v>6.06</v>
      </c>
      <c r="J102" s="286">
        <v>11.53</v>
      </c>
      <c r="K102" s="286">
        <v>7.9630000000000001</v>
      </c>
      <c r="L102" s="286">
        <v>7.1634408602150534</v>
      </c>
      <c r="M102" s="286">
        <v>-16.980000190734863</v>
      </c>
      <c r="N102" s="322"/>
      <c r="O102" s="262"/>
      <c r="P102" s="263"/>
      <c r="Q102" s="263"/>
      <c r="R102" s="276"/>
      <c r="S102" s="277"/>
      <c r="T102" s="277"/>
      <c r="U102" s="242"/>
      <c r="V102" s="262"/>
      <c r="W102" s="263"/>
      <c r="X102" s="263"/>
      <c r="AA102" s="389"/>
      <c r="AB102" s="390" t="s">
        <v>104</v>
      </c>
      <c r="AC102" s="389"/>
      <c r="AD102" s="389"/>
      <c r="AE102" s="389"/>
      <c r="AF102" s="389"/>
      <c r="AG102" s="390" t="s">
        <v>147</v>
      </c>
      <c r="AH102" s="389"/>
      <c r="AI102" s="389"/>
      <c r="AJ102" s="389"/>
      <c r="AK102" s="324"/>
      <c r="AU102" s="389"/>
      <c r="AV102" s="390" t="str">
        <f>AB102</f>
        <v>2) 4deg Max Upper Ball and 4deg Max Lower Flex-Joint Angle</v>
      </c>
      <c r="AW102" s="389"/>
      <c r="AX102" s="389"/>
      <c r="AY102" s="389"/>
      <c r="AZ102" s="389"/>
      <c r="BA102" s="391"/>
      <c r="BB102" s="391"/>
      <c r="BC102" s="391"/>
      <c r="BD102" s="391"/>
      <c r="BE102" s="391"/>
      <c r="BF102" s="391"/>
      <c r="BG102" s="324"/>
      <c r="CF102" s="287">
        <v>0.58999999999999986</v>
      </c>
      <c r="CG102" s="286">
        <v>11.53</v>
      </c>
    </row>
    <row r="103" spans="1:85" ht="18" customHeight="1" x14ac:dyDescent="0.2">
      <c r="A103" s="362"/>
      <c r="B103" s="280">
        <v>1175</v>
      </c>
      <c r="C103" s="281">
        <v>1033.5129999999999</v>
      </c>
      <c r="D103" s="282">
        <v>1043.5429999999999</v>
      </c>
      <c r="E103" s="363">
        <v>105.346</v>
      </c>
      <c r="F103" s="364">
        <v>106.95</v>
      </c>
      <c r="G103" s="365">
        <v>4.83</v>
      </c>
      <c r="H103" s="366">
        <v>5.27</v>
      </c>
      <c r="I103" s="365">
        <v>6.01</v>
      </c>
      <c r="J103" s="366">
        <v>11.48</v>
      </c>
      <c r="K103" s="392">
        <v>8.8520000000000003</v>
      </c>
      <c r="L103" s="392">
        <v>7.0139784946236556</v>
      </c>
      <c r="M103" s="392">
        <v>-16.820000190734863</v>
      </c>
      <c r="N103" s="322"/>
      <c r="O103" s="262"/>
      <c r="P103" s="263"/>
      <c r="Q103" s="263"/>
      <c r="R103" s="276"/>
      <c r="S103" s="277"/>
      <c r="T103" s="277"/>
      <c r="U103" s="242"/>
      <c r="V103" s="262"/>
      <c r="W103" s="263"/>
      <c r="X103" s="263"/>
      <c r="AA103" s="389"/>
      <c r="AB103" s="390" t="s">
        <v>148</v>
      </c>
      <c r="AC103" s="389"/>
      <c r="AD103" s="389"/>
      <c r="AE103" s="389"/>
      <c r="AF103" s="389"/>
      <c r="AG103" s="390" t="s">
        <v>148</v>
      </c>
      <c r="AH103" s="389"/>
      <c r="AI103" s="389"/>
      <c r="AJ103" s="389"/>
      <c r="AK103" s="324"/>
      <c r="AU103" s="389"/>
      <c r="AV103" s="390" t="str">
        <f>AB103</f>
        <v>3) Allowable Stress = 19.3 ksi for Riser Joints</v>
      </c>
      <c r="AW103" s="389"/>
      <c r="AX103" s="389"/>
      <c r="AY103" s="389"/>
      <c r="AZ103" s="323"/>
      <c r="BA103" s="391" t="s">
        <v>45</v>
      </c>
      <c r="BB103" s="391"/>
      <c r="BC103" s="391"/>
      <c r="BD103" s="391"/>
      <c r="BE103" s="391"/>
      <c r="BF103" s="391"/>
      <c r="BG103" s="324"/>
      <c r="CF103" s="307">
        <v>0.52999999999999936</v>
      </c>
      <c r="CG103" s="305">
        <v>11.49</v>
      </c>
    </row>
    <row r="104" spans="1:85" ht="18" customHeight="1" thickBot="1" x14ac:dyDescent="0.25">
      <c r="A104" s="367"/>
      <c r="B104" s="292">
        <v>1280</v>
      </c>
      <c r="C104" s="368">
        <v>1138.5129999999999</v>
      </c>
      <c r="D104" s="369">
        <v>1148.5429999999999</v>
      </c>
      <c r="E104" s="370">
        <v>106.238</v>
      </c>
      <c r="F104" s="371">
        <v>118.86</v>
      </c>
      <c r="G104" s="372">
        <v>4.8600000000000003</v>
      </c>
      <c r="H104" s="373">
        <v>5.31</v>
      </c>
      <c r="I104" s="372">
        <v>5.96</v>
      </c>
      <c r="J104" s="373">
        <v>11.44</v>
      </c>
      <c r="K104" s="388">
        <v>9.7319999999999993</v>
      </c>
      <c r="L104" s="388">
        <v>6.8634408602150536</v>
      </c>
      <c r="M104" s="388">
        <v>-16.660000190734863</v>
      </c>
      <c r="N104" s="322"/>
      <c r="O104" s="234"/>
      <c r="P104" s="234"/>
      <c r="Q104" s="234"/>
      <c r="R104" s="241"/>
      <c r="S104" s="241"/>
      <c r="T104" s="241"/>
      <c r="U104" s="242"/>
      <c r="V104" s="234"/>
      <c r="W104" s="234"/>
      <c r="X104" s="234"/>
      <c r="AA104" s="393"/>
      <c r="AB104" s="394" t="s">
        <v>128</v>
      </c>
      <c r="AC104" s="393"/>
      <c r="AD104" s="393"/>
      <c r="AE104" s="393"/>
      <c r="AF104" s="393"/>
      <c r="AG104" s="394" t="s">
        <v>128</v>
      </c>
      <c r="AH104" s="393"/>
      <c r="AI104" s="393"/>
      <c r="AJ104" s="393"/>
      <c r="AU104" s="323"/>
      <c r="AV104" s="390" t="str">
        <f>"4) "&amp;AW6&amp;" x "&amp;BD7&amp;" kips Tensioner Down"</f>
        <v>4) 1 x 119.999996423721 kips Tensioner Down</v>
      </c>
      <c r="AW104" s="323"/>
      <c r="AX104" s="323"/>
      <c r="AY104" s="323"/>
      <c r="AZ104" s="323"/>
      <c r="BA104" s="391"/>
      <c r="BB104" s="391"/>
      <c r="BC104" s="391"/>
      <c r="BD104" s="391"/>
      <c r="BE104" s="391"/>
      <c r="BF104" s="391"/>
      <c r="BG104" s="324"/>
      <c r="CF104" s="302">
        <v>0.49000000000000021</v>
      </c>
      <c r="CG104" s="301">
        <v>11.43</v>
      </c>
    </row>
    <row r="105" spans="1:85" x14ac:dyDescent="0.2">
      <c r="A105" s="395"/>
      <c r="B105" s="396"/>
      <c r="C105" s="396"/>
      <c r="D105" s="310"/>
      <c r="E105" s="310"/>
      <c r="F105" s="310"/>
      <c r="G105" s="310"/>
      <c r="H105" s="310"/>
      <c r="I105" s="310"/>
      <c r="J105" s="225"/>
      <c r="K105" s="397"/>
      <c r="L105" s="397"/>
      <c r="M105" s="397"/>
      <c r="N105" s="225"/>
      <c r="O105" s="234"/>
      <c r="P105" s="234"/>
    </row>
    <row r="106" spans="1:85" x14ac:dyDescent="0.2">
      <c r="A106" s="395"/>
      <c r="B106" s="396"/>
      <c r="C106" s="396"/>
      <c r="D106" s="310"/>
      <c r="E106" s="310"/>
      <c r="F106" s="310"/>
      <c r="G106" s="310"/>
      <c r="H106" s="310"/>
      <c r="I106" s="310"/>
      <c r="J106" s="225"/>
      <c r="K106" s="397"/>
      <c r="L106" s="397"/>
      <c r="M106" s="397"/>
      <c r="N106" s="225"/>
      <c r="O106" s="234"/>
      <c r="P106" s="234"/>
      <c r="Q106" s="234"/>
      <c r="R106" s="241"/>
      <c r="S106" s="241"/>
      <c r="T106" s="241"/>
      <c r="U106" s="241"/>
      <c r="V106" s="234"/>
      <c r="W106" s="234"/>
      <c r="X106" s="234"/>
    </row>
    <row r="107" spans="1:85" x14ac:dyDescent="0.2">
      <c r="A107" s="398"/>
      <c r="B107" s="225"/>
      <c r="C107" s="225"/>
      <c r="D107" s="225"/>
      <c r="E107" s="225"/>
      <c r="F107" s="225"/>
      <c r="G107" s="225"/>
      <c r="H107" s="225"/>
      <c r="I107" s="225"/>
      <c r="J107" s="225"/>
      <c r="K107" s="399"/>
      <c r="L107" s="399"/>
      <c r="M107" s="397"/>
      <c r="N107" s="225"/>
      <c r="O107" s="234"/>
      <c r="P107" s="234"/>
      <c r="Q107" s="234"/>
      <c r="R107" s="241"/>
      <c r="S107" s="241"/>
      <c r="T107" s="241"/>
      <c r="U107" s="241"/>
      <c r="V107" s="234"/>
      <c r="W107" s="234"/>
      <c r="X107" s="234"/>
    </row>
    <row r="108" spans="1:85" x14ac:dyDescent="0.2">
      <c r="A108" s="400"/>
      <c r="B108" s="401"/>
      <c r="C108" s="401"/>
      <c r="D108" s="225"/>
      <c r="E108" s="225"/>
      <c r="F108" s="225"/>
      <c r="G108" s="225"/>
      <c r="H108" s="225"/>
      <c r="I108" s="225"/>
      <c r="J108" s="401"/>
      <c r="K108" s="399"/>
      <c r="L108" s="399"/>
      <c r="M108" s="397"/>
      <c r="N108" s="225"/>
      <c r="O108" s="262"/>
      <c r="P108" s="263"/>
      <c r="Q108" s="263"/>
      <c r="R108" s="264"/>
      <c r="S108" s="264"/>
      <c r="T108" s="264"/>
      <c r="U108" s="264"/>
      <c r="V108" s="262"/>
      <c r="W108" s="263"/>
      <c r="X108" s="263"/>
    </row>
    <row r="109" spans="1:85" x14ac:dyDescent="0.2">
      <c r="A109" s="400"/>
      <c r="B109" s="401"/>
      <c r="C109" s="401"/>
      <c r="D109" s="225"/>
      <c r="E109" s="225"/>
      <c r="F109" s="225"/>
      <c r="G109" s="225"/>
      <c r="H109" s="225"/>
      <c r="I109" s="225"/>
      <c r="J109" s="401"/>
      <c r="K109" s="397"/>
      <c r="L109" s="397"/>
      <c r="M109" s="397"/>
      <c r="N109" s="225"/>
      <c r="O109" s="262"/>
      <c r="P109" s="263"/>
      <c r="Q109" s="263"/>
      <c r="R109" s="276"/>
      <c r="S109" s="277"/>
      <c r="T109" s="277"/>
      <c r="U109" s="277"/>
      <c r="V109" s="262"/>
      <c r="W109" s="263"/>
      <c r="X109" s="263"/>
    </row>
    <row r="110" spans="1:85" ht="12.75" x14ac:dyDescent="0.2">
      <c r="A110" s="402" t="s">
        <v>20</v>
      </c>
      <c r="B110" s="403" t="s">
        <v>18</v>
      </c>
      <c r="C110" s="402"/>
      <c r="D110" s="402"/>
      <c r="E110" s="404" t="s">
        <v>19</v>
      </c>
      <c r="F110" s="402" t="s">
        <v>21</v>
      </c>
      <c r="G110" s="403" t="s">
        <v>18</v>
      </c>
      <c r="H110" s="402"/>
      <c r="I110" s="402"/>
      <c r="J110" s="225" t="s">
        <v>19</v>
      </c>
      <c r="N110" s="225"/>
      <c r="O110" s="262"/>
      <c r="P110" s="263"/>
      <c r="Q110" s="263"/>
      <c r="R110" s="276"/>
      <c r="S110" s="277"/>
      <c r="T110" s="277"/>
      <c r="U110" s="277"/>
      <c r="V110" s="262"/>
      <c r="W110" s="263"/>
      <c r="X110" s="263"/>
    </row>
    <row r="111" spans="1:85" ht="12.75" x14ac:dyDescent="0.2">
      <c r="A111" s="404">
        <f>G35</f>
        <v>-2.72</v>
      </c>
      <c r="B111" s="404">
        <f>B104</f>
        <v>1280</v>
      </c>
      <c r="D111" s="405"/>
      <c r="E111" s="404">
        <f>I35</f>
        <v>-0.97</v>
      </c>
      <c r="F111" s="404">
        <f>G53</f>
        <v>-0.56000000000000005</v>
      </c>
      <c r="G111" s="404">
        <f>B111</f>
        <v>1280</v>
      </c>
      <c r="I111" s="405"/>
      <c r="J111" s="404">
        <f>I53</f>
        <v>1.01</v>
      </c>
      <c r="N111" s="406"/>
      <c r="P111" s="230">
        <f>B9</f>
        <v>440</v>
      </c>
      <c r="Q111" s="230">
        <f>B10</f>
        <v>545</v>
      </c>
      <c r="R111" s="230">
        <f>B11</f>
        <v>650</v>
      </c>
      <c r="S111" s="230">
        <f>B12</f>
        <v>755</v>
      </c>
      <c r="T111" s="230">
        <f>B13</f>
        <v>860</v>
      </c>
      <c r="U111" s="230">
        <f>B14</f>
        <v>965</v>
      </c>
      <c r="V111" s="230">
        <f>B15</f>
        <v>1070</v>
      </c>
      <c r="W111" s="230">
        <f>B16</f>
        <v>1175</v>
      </c>
      <c r="X111" s="230">
        <f>B17</f>
        <v>1280</v>
      </c>
    </row>
    <row r="112" spans="1:85" ht="12.75" x14ac:dyDescent="0.2">
      <c r="A112" s="404"/>
      <c r="B112" s="404"/>
      <c r="C112" s="405">
        <v>1</v>
      </c>
      <c r="D112" s="407">
        <f>B113-(B113-B111)*((A113-C112)/(A113-A111))</f>
        <v>6860.0000000000127</v>
      </c>
      <c r="E112" s="404"/>
      <c r="F112" s="404"/>
      <c r="G112" s="404"/>
      <c r="H112" s="405">
        <v>1</v>
      </c>
      <c r="I112" s="407">
        <f>G113-(G113-G111)*((F113-H112)/(F113-F111))</f>
        <v>4556.0000000000036</v>
      </c>
      <c r="J112" s="404"/>
      <c r="N112" s="406"/>
      <c r="O112" s="343">
        <f>A9</f>
        <v>-8</v>
      </c>
      <c r="P112" s="343">
        <f>M9</f>
        <v>-14.600000190734864</v>
      </c>
      <c r="Q112" s="343">
        <f>M10</f>
        <v>-14.130000190734863</v>
      </c>
      <c r="R112" s="343">
        <f>M11</f>
        <v>-13.830000190734863</v>
      </c>
      <c r="S112" s="343">
        <f>M12</f>
        <v>-13.590000190734862</v>
      </c>
      <c r="T112" s="343">
        <f>M13</f>
        <v>-13.390000190734863</v>
      </c>
      <c r="U112" s="343">
        <f>M14</f>
        <v>-13.200000190734864</v>
      </c>
      <c r="V112" s="343">
        <f>M15</f>
        <v>-13.030000190734864</v>
      </c>
      <c r="W112" s="343">
        <f>M16</f>
        <v>-12.870000190734864</v>
      </c>
      <c r="X112" s="343">
        <f>M17</f>
        <v>-12.720000190734863</v>
      </c>
    </row>
    <row r="113" spans="1:28" ht="12.75" x14ac:dyDescent="0.2">
      <c r="A113" s="404">
        <f>G34</f>
        <v>-2.79</v>
      </c>
      <c r="B113" s="404">
        <f>B103</f>
        <v>1175</v>
      </c>
      <c r="C113" s="404"/>
      <c r="D113" s="408"/>
      <c r="E113" s="404">
        <f>I34</f>
        <v>-0.86</v>
      </c>
      <c r="F113" s="404">
        <f>G52</f>
        <v>-0.61</v>
      </c>
      <c r="G113" s="404">
        <f>B113</f>
        <v>1175</v>
      </c>
      <c r="H113" s="404"/>
      <c r="I113" s="408"/>
      <c r="J113" s="404">
        <f>I52</f>
        <v>1.1000000000000001</v>
      </c>
      <c r="N113" s="310"/>
      <c r="O113" s="409">
        <f>A18</f>
        <v>-6</v>
      </c>
      <c r="P113" s="343">
        <f>M18</f>
        <v>-13.200000190734864</v>
      </c>
      <c r="Q113" s="343">
        <f>M19</f>
        <v>-12.760000190734864</v>
      </c>
      <c r="R113" s="343">
        <f>M20</f>
        <v>-12.460000190734863</v>
      </c>
      <c r="S113" s="343">
        <f>M21</f>
        <v>-12.230000190734863</v>
      </c>
      <c r="T113" s="343">
        <f>M22</f>
        <v>-12.030000190734864</v>
      </c>
      <c r="U113" s="343">
        <f>M23</f>
        <v>-11.850000190734864</v>
      </c>
      <c r="V113" s="343">
        <f>M24</f>
        <v>-11.680000190734864</v>
      </c>
      <c r="W113" s="343">
        <f>M25</f>
        <v>-11.520000190734864</v>
      </c>
      <c r="X113" s="343">
        <f>M26</f>
        <v>-11.360000190734864</v>
      </c>
      <c r="AA113" s="410"/>
      <c r="AB113" s="410"/>
    </row>
    <row r="114" spans="1:28" ht="12.75" x14ac:dyDescent="0.2">
      <c r="A114" s="404"/>
      <c r="B114" s="404"/>
      <c r="C114" s="405">
        <v>1</v>
      </c>
      <c r="D114" s="407">
        <f>B115-(B115-B113)*((A115-C114)/(A115-A113))</f>
        <v>6149.3749999999955</v>
      </c>
      <c r="E114" s="404"/>
      <c r="F114" s="404"/>
      <c r="G114" s="404"/>
      <c r="H114" s="405">
        <v>1</v>
      </c>
      <c r="I114" s="407">
        <f>G115-(G115-G113)*((F115-H114)/(F115-F113))</f>
        <v>3589.9999999999982</v>
      </c>
      <c r="J114" s="404"/>
      <c r="N114" s="310"/>
      <c r="O114" s="409">
        <f>A27</f>
        <v>-4</v>
      </c>
      <c r="P114" s="343">
        <f>M27</f>
        <v>-12.260000190734864</v>
      </c>
      <c r="Q114" s="343">
        <f>M28</f>
        <v>-11.830000190734863</v>
      </c>
      <c r="R114" s="343">
        <f>M29</f>
        <v>-11.540000190734863</v>
      </c>
      <c r="S114" s="343">
        <f>M30</f>
        <v>-11.310000190734863</v>
      </c>
      <c r="T114" s="343">
        <f>M31</f>
        <v>-11.120000190734864</v>
      </c>
      <c r="U114" s="343">
        <f>M32</f>
        <v>-10.940000190734864</v>
      </c>
      <c r="V114" s="343">
        <f>M33</f>
        <v>-10.770000190734864</v>
      </c>
      <c r="W114" s="343">
        <f>M34</f>
        <v>-10.610000190734864</v>
      </c>
      <c r="X114" s="343">
        <f>M35</f>
        <v>-10.460000190734863</v>
      </c>
      <c r="AA114" s="410"/>
      <c r="AB114" s="410"/>
    </row>
    <row r="115" spans="1:28" ht="12.75" x14ac:dyDescent="0.2">
      <c r="A115" s="404">
        <f>G33</f>
        <v>-2.87</v>
      </c>
      <c r="B115" s="404">
        <f>B102</f>
        <v>1070</v>
      </c>
      <c r="C115" s="404"/>
      <c r="D115" s="408"/>
      <c r="E115" s="404">
        <f>I33</f>
        <v>-0.74</v>
      </c>
      <c r="F115" s="404">
        <f>G51</f>
        <v>-0.68</v>
      </c>
      <c r="G115" s="404">
        <f>B115</f>
        <v>1070</v>
      </c>
      <c r="H115" s="404"/>
      <c r="I115" s="408"/>
      <c r="J115" s="404">
        <f>I51</f>
        <v>1.2</v>
      </c>
      <c r="N115" s="310"/>
      <c r="O115" s="409">
        <f>A36</f>
        <v>-2</v>
      </c>
      <c r="P115" s="343">
        <f>M36</f>
        <v>-11.770000190734864</v>
      </c>
      <c r="Q115" s="343">
        <f>M37</f>
        <v>-11.360000190734864</v>
      </c>
      <c r="R115" s="343">
        <f>M38</f>
        <v>-11.070000190734863</v>
      </c>
      <c r="S115" s="343">
        <f>M39</f>
        <v>-10.850000190734864</v>
      </c>
      <c r="T115" s="343">
        <f>M40</f>
        <v>-10.660000190734863</v>
      </c>
      <c r="U115" s="343">
        <f>M41</f>
        <v>-10.480000190734863</v>
      </c>
      <c r="V115" s="343">
        <f>M42</f>
        <v>-10.310000190734863</v>
      </c>
      <c r="W115" s="343">
        <f>M43</f>
        <v>-10.150000190734863</v>
      </c>
      <c r="X115" s="343">
        <f>M44</f>
        <v>-10.000000190734863</v>
      </c>
      <c r="AA115" s="410"/>
      <c r="AB115" s="410"/>
    </row>
    <row r="116" spans="1:28" ht="12.75" x14ac:dyDescent="0.2">
      <c r="A116" s="404"/>
      <c r="B116" s="404"/>
      <c r="C116" s="405">
        <v>1</v>
      </c>
      <c r="D116" s="407">
        <f>B117-(B117-B115)*((A117-C116)/(A117-A115))</f>
        <v>5585.0000000000073</v>
      </c>
      <c r="E116" s="404"/>
      <c r="F116" s="404"/>
      <c r="G116" s="404"/>
      <c r="H116" s="405">
        <v>2</v>
      </c>
      <c r="I116" s="407">
        <f>G117-(G117-G115)*((F117-H116)/(F117-F115))</f>
        <v>4587.5000000000018</v>
      </c>
      <c r="J116" s="404"/>
      <c r="N116" s="310"/>
      <c r="O116" s="409">
        <f>A45</f>
        <v>0</v>
      </c>
      <c r="P116" s="343">
        <f>M45</f>
        <v>-11.730000190734863</v>
      </c>
      <c r="Q116" s="343">
        <f>M46</f>
        <v>-11.330000190734863</v>
      </c>
      <c r="R116" s="343">
        <f>M47</f>
        <v>-11.050000190734863</v>
      </c>
      <c r="S116" s="343">
        <f>M48</f>
        <v>-10.840000190734862</v>
      </c>
      <c r="T116" s="343">
        <f>M49</f>
        <v>-10.640000190734863</v>
      </c>
      <c r="U116" s="343">
        <f>M50</f>
        <v>-10.470000190734863</v>
      </c>
      <c r="V116" s="343">
        <f>M51</f>
        <v>-10.300000190734863</v>
      </c>
      <c r="W116" s="343">
        <f>M52</f>
        <v>-10.140000190734863</v>
      </c>
      <c r="X116" s="343">
        <f>M53</f>
        <v>-9.9900001907348628</v>
      </c>
    </row>
    <row r="117" spans="1:28" ht="12.75" x14ac:dyDescent="0.2">
      <c r="A117" s="404">
        <f>G32</f>
        <v>-2.96</v>
      </c>
      <c r="B117" s="404">
        <f>B101</f>
        <v>965</v>
      </c>
      <c r="C117" s="404"/>
      <c r="D117" s="408"/>
      <c r="E117" s="404">
        <f>I32</f>
        <v>-0.59</v>
      </c>
      <c r="F117" s="404">
        <f>G50</f>
        <v>-0.76</v>
      </c>
      <c r="G117" s="404">
        <f>B117</f>
        <v>965</v>
      </c>
      <c r="H117" s="404"/>
      <c r="I117" s="408"/>
      <c r="J117" s="404">
        <f>I50</f>
        <v>1.33</v>
      </c>
      <c r="N117" s="310"/>
      <c r="O117" s="409">
        <f>A60</f>
        <v>2</v>
      </c>
      <c r="P117" s="343">
        <f>M60</f>
        <v>-12.150000190734863</v>
      </c>
      <c r="Q117" s="343">
        <f>M61</f>
        <v>-11.760000190734864</v>
      </c>
      <c r="R117" s="343">
        <f>M62</f>
        <v>-11.490000190734863</v>
      </c>
      <c r="S117" s="343">
        <f>M63</f>
        <v>-11.270000190734864</v>
      </c>
      <c r="T117" s="343">
        <f>M64</f>
        <v>-11.080000190734863</v>
      </c>
      <c r="U117" s="343">
        <f>M65</f>
        <v>-10.910000190734863</v>
      </c>
      <c r="V117" s="343">
        <f>M66</f>
        <v>-10.740000190734863</v>
      </c>
      <c r="W117" s="343">
        <f>M67</f>
        <v>-10.580000190734863</v>
      </c>
      <c r="X117" s="343">
        <f>M68</f>
        <v>-10.420000190734862</v>
      </c>
    </row>
    <row r="118" spans="1:28" ht="12.75" x14ac:dyDescent="0.2">
      <c r="A118" s="404"/>
      <c r="B118" s="404"/>
      <c r="C118" s="405">
        <v>1</v>
      </c>
      <c r="D118" s="407">
        <f>B119-(B119-B117)*((A119-C118)/(A119-A117))</f>
        <v>4429.9999999999964</v>
      </c>
      <c r="E118" s="404"/>
      <c r="F118" s="404"/>
      <c r="G118" s="404"/>
      <c r="H118" s="405">
        <v>1</v>
      </c>
      <c r="I118" s="407">
        <f>G119-(G119-G117)*((F119-H118)/(F119-F117))</f>
        <v>2813</v>
      </c>
      <c r="J118" s="404"/>
      <c r="N118" s="310"/>
      <c r="O118" s="409">
        <f>A69</f>
        <v>4</v>
      </c>
      <c r="P118" s="343">
        <f>M69</f>
        <v>-13.010000190734864</v>
      </c>
      <c r="Q118" s="343">
        <f>M70</f>
        <v>-12.630000190734863</v>
      </c>
      <c r="R118" s="343">
        <f>M71</f>
        <v>-12.370000190734864</v>
      </c>
      <c r="S118" s="343">
        <f>M72</f>
        <v>-12.150000190734863</v>
      </c>
      <c r="T118" s="343">
        <f>M73</f>
        <v>-11.970000190734863</v>
      </c>
      <c r="U118" s="343">
        <f>M74</f>
        <v>-11.790000190734863</v>
      </c>
      <c r="V118" s="343">
        <f>M75</f>
        <v>-11.630000190734863</v>
      </c>
      <c r="W118" s="343">
        <f>M76</f>
        <v>-11.470000190734863</v>
      </c>
      <c r="X118" s="343">
        <f>M77</f>
        <v>-11.310000190734863</v>
      </c>
    </row>
    <row r="119" spans="1:28" ht="12.75" x14ac:dyDescent="0.2">
      <c r="A119" s="404">
        <f>G31</f>
        <v>-3.08</v>
      </c>
      <c r="B119" s="404">
        <f>B100</f>
        <v>860</v>
      </c>
      <c r="C119" s="404"/>
      <c r="D119" s="408"/>
      <c r="E119" s="404">
        <f>I31</f>
        <v>-0.41</v>
      </c>
      <c r="F119" s="404">
        <f>G49</f>
        <v>-0.86</v>
      </c>
      <c r="G119" s="404">
        <f>B119</f>
        <v>860</v>
      </c>
      <c r="H119" s="404"/>
      <c r="I119" s="408"/>
      <c r="J119" s="404">
        <f>I49</f>
        <v>1.48</v>
      </c>
      <c r="N119" s="310"/>
      <c r="O119" s="409">
        <f>A78</f>
        <v>6</v>
      </c>
      <c r="P119" s="343">
        <f>M78</f>
        <v>-14.330000190734863</v>
      </c>
      <c r="Q119" s="343">
        <f>M79</f>
        <v>-13.960000190734863</v>
      </c>
      <c r="R119" s="343">
        <f>M80</f>
        <v>-13.700000190734864</v>
      </c>
      <c r="S119" s="343">
        <f>M81</f>
        <v>-13.490000190734863</v>
      </c>
      <c r="T119" s="343">
        <f>M82</f>
        <v>-13.300000190734863</v>
      </c>
      <c r="U119" s="343">
        <f>M83</f>
        <v>-13.130000190734863</v>
      </c>
      <c r="V119" s="343">
        <f>M84</f>
        <v>-12.960000190734863</v>
      </c>
      <c r="W119" s="343">
        <f>M85</f>
        <v>-12.800000190734863</v>
      </c>
      <c r="X119" s="343">
        <f>M86</f>
        <v>-12.640000190734863</v>
      </c>
    </row>
    <row r="120" spans="1:28" ht="12.75" x14ac:dyDescent="0.2">
      <c r="A120" s="404"/>
      <c r="B120" s="404"/>
      <c r="C120" s="405">
        <v>1</v>
      </c>
      <c r="D120" s="407">
        <f>B121-(B121-B119)*((A121-C120)/(A121-A119))</f>
        <v>3716.0000000000023</v>
      </c>
      <c r="E120" s="404"/>
      <c r="F120" s="404"/>
      <c r="G120" s="404"/>
      <c r="H120" s="405">
        <v>1</v>
      </c>
      <c r="I120" s="407">
        <f>G121-(G121-G119)*((F121-H120)/(F121-F119))</f>
        <v>2255</v>
      </c>
      <c r="J120" s="404"/>
      <c r="N120" s="310"/>
      <c r="O120" s="409">
        <f>A87</f>
        <v>8</v>
      </c>
      <c r="P120" s="343">
        <f>M87</f>
        <v>-16.090000190734862</v>
      </c>
      <c r="Q120" s="343">
        <f>M88</f>
        <v>-15.730000190734863</v>
      </c>
      <c r="R120" s="343">
        <f>M89</f>
        <v>-15.480000190734863</v>
      </c>
      <c r="S120" s="343">
        <f>M90</f>
        <v>-15.270000190734864</v>
      </c>
      <c r="T120" s="343">
        <f>M91</f>
        <v>-15.080000190734863</v>
      </c>
      <c r="U120" s="343">
        <f>M92</f>
        <v>-14.910000190734863</v>
      </c>
      <c r="V120" s="343">
        <f>M93</f>
        <v>-14.750000190734863</v>
      </c>
      <c r="W120" s="343">
        <f>M94</f>
        <v>-14.580000190734863</v>
      </c>
      <c r="X120" s="343">
        <f>M95</f>
        <v>-14.430000190734862</v>
      </c>
    </row>
    <row r="121" spans="1:28" ht="12.75" x14ac:dyDescent="0.2">
      <c r="A121" s="404">
        <f>G30</f>
        <v>-3.23</v>
      </c>
      <c r="B121" s="404">
        <f>B99</f>
        <v>755</v>
      </c>
      <c r="C121" s="404"/>
      <c r="D121" s="408"/>
      <c r="E121" s="404">
        <f>I30</f>
        <v>-0.18</v>
      </c>
      <c r="F121" s="404">
        <f>G48</f>
        <v>-1</v>
      </c>
      <c r="G121" s="404">
        <f>B121</f>
        <v>755</v>
      </c>
      <c r="H121" s="404"/>
      <c r="I121" s="408"/>
      <c r="J121" s="404">
        <f>I48</f>
        <v>1.68</v>
      </c>
      <c r="N121" s="310"/>
      <c r="O121" s="409">
        <f>A96</f>
        <v>10</v>
      </c>
      <c r="P121" s="343">
        <f>M96</f>
        <v>-18.310000190734861</v>
      </c>
      <c r="Q121" s="343">
        <f>M97</f>
        <v>-17.960000190734863</v>
      </c>
      <c r="R121" s="343">
        <f>M98</f>
        <v>-17.710000190734863</v>
      </c>
      <c r="S121" s="343">
        <f>M99</f>
        <v>-17.500000190734863</v>
      </c>
      <c r="T121" s="343">
        <f>M100</f>
        <v>-17.320000190734863</v>
      </c>
      <c r="U121" s="343">
        <f>M101</f>
        <v>-17.140000190734863</v>
      </c>
      <c r="V121" s="343">
        <f>M102</f>
        <v>-16.980000190734863</v>
      </c>
      <c r="W121" s="343">
        <f>M103</f>
        <v>-16.820000190734863</v>
      </c>
      <c r="X121" s="343">
        <f>M104</f>
        <v>-16.660000190734863</v>
      </c>
    </row>
    <row r="122" spans="1:28" ht="12.75" x14ac:dyDescent="0.2">
      <c r="A122" s="404"/>
      <c r="B122" s="404"/>
      <c r="C122" s="405">
        <v>1</v>
      </c>
      <c r="D122" s="407">
        <f>B123-(B123-B121)*((A123-C122)/(A123-A121))</f>
        <v>2975.7499999999977</v>
      </c>
      <c r="E122" s="404"/>
      <c r="F122" s="404"/>
      <c r="G122" s="404"/>
      <c r="H122" s="405">
        <v>2</v>
      </c>
      <c r="I122" s="407">
        <f>G123-(G123-G121)*((F123-H122)/(F123-F121))</f>
        <v>2505.0000000000005</v>
      </c>
      <c r="J122" s="404"/>
      <c r="N122" s="310"/>
      <c r="O122" s="234"/>
      <c r="P122" s="234"/>
    </row>
    <row r="123" spans="1:28" ht="12.75" x14ac:dyDescent="0.2">
      <c r="A123" s="404">
        <f>G29</f>
        <v>-3.43</v>
      </c>
      <c r="B123" s="404">
        <f>B98</f>
        <v>650</v>
      </c>
      <c r="C123" s="405"/>
      <c r="D123" s="407"/>
      <c r="E123" s="404">
        <f>I29</f>
        <v>0.13</v>
      </c>
      <c r="F123" s="404">
        <f>G47</f>
        <v>-1.18</v>
      </c>
      <c r="G123" s="404">
        <f>B123</f>
        <v>650</v>
      </c>
      <c r="H123" s="405"/>
      <c r="I123" s="407"/>
      <c r="J123" s="404">
        <f>I47</f>
        <v>1.93</v>
      </c>
      <c r="N123" s="310"/>
      <c r="O123" s="234"/>
      <c r="P123" s="234"/>
    </row>
    <row r="124" spans="1:28" ht="12.75" x14ac:dyDescent="0.2">
      <c r="A124" s="404"/>
      <c r="B124" s="404"/>
      <c r="C124" s="405">
        <v>2</v>
      </c>
      <c r="D124" s="407">
        <f>B125-(B125-B123)*((A125-C124)/(A125-A123))</f>
        <v>2550.5000000000014</v>
      </c>
      <c r="E124" s="404"/>
      <c r="F124" s="404"/>
      <c r="G124" s="404"/>
      <c r="H124" s="405">
        <v>2</v>
      </c>
      <c r="I124" s="407">
        <f>G125-(G125-G123)*((F125-H124)/(F125-F123))</f>
        <v>1842.4999999999998</v>
      </c>
      <c r="J124" s="404"/>
      <c r="N124" s="310"/>
      <c r="O124" s="234"/>
      <c r="P124" s="234"/>
    </row>
    <row r="125" spans="1:28" ht="12.75" x14ac:dyDescent="0.2">
      <c r="A125" s="404">
        <f>G28</f>
        <v>-3.73</v>
      </c>
      <c r="B125" s="404">
        <f>B97</f>
        <v>545</v>
      </c>
      <c r="C125" s="405"/>
      <c r="D125" s="407"/>
      <c r="E125" s="404">
        <f>I28</f>
        <v>0.55000000000000004</v>
      </c>
      <c r="F125" s="404">
        <f>G46</f>
        <v>-1.46</v>
      </c>
      <c r="G125" s="404">
        <f>B125</f>
        <v>545</v>
      </c>
      <c r="H125" s="405"/>
      <c r="I125" s="407"/>
      <c r="J125" s="404">
        <f>I46</f>
        <v>2.29</v>
      </c>
      <c r="N125" s="310"/>
      <c r="O125" s="234"/>
      <c r="P125" s="234"/>
    </row>
    <row r="126" spans="1:28" ht="12.75" x14ac:dyDescent="0.2">
      <c r="A126" s="404"/>
      <c r="B126" s="404"/>
      <c r="C126" s="405">
        <v>2</v>
      </c>
      <c r="D126" s="407">
        <f>B127-(B127-B125)*((A127-C126)/(A127-A125))</f>
        <v>1852.9347826086944</v>
      </c>
      <c r="E126" s="404"/>
      <c r="F126" s="404"/>
      <c r="G126" s="404"/>
      <c r="H126" s="405">
        <v>2</v>
      </c>
      <c r="I126" s="407">
        <f>G127-(G127-G125)*((F127-H126)/(F127-F125))</f>
        <v>1389.8837209302326</v>
      </c>
      <c r="J126" s="404"/>
      <c r="N126" s="310"/>
      <c r="O126" s="234"/>
      <c r="P126" s="234"/>
    </row>
    <row r="127" spans="1:28" ht="12.75" x14ac:dyDescent="0.2">
      <c r="A127" s="404">
        <f>G27</f>
        <v>-4.1900000000000004</v>
      </c>
      <c r="B127" s="404">
        <f>B96</f>
        <v>440</v>
      </c>
      <c r="D127" s="407"/>
      <c r="E127" s="404">
        <f>I27</f>
        <v>1.1599999999999999</v>
      </c>
      <c r="F127" s="404">
        <f>G45</f>
        <v>-1.89</v>
      </c>
      <c r="G127" s="404">
        <f>B127</f>
        <v>440</v>
      </c>
      <c r="I127" s="407"/>
      <c r="J127" s="404">
        <f>I45</f>
        <v>2.81</v>
      </c>
      <c r="N127" s="310"/>
      <c r="O127" s="234"/>
      <c r="P127" s="234"/>
    </row>
    <row r="128" spans="1:28" x14ac:dyDescent="0.2">
      <c r="A128" s="395"/>
      <c r="B128" s="396"/>
      <c r="C128" s="396"/>
      <c r="D128" s="310"/>
      <c r="E128" s="310"/>
      <c r="F128" s="310"/>
      <c r="G128" s="310"/>
      <c r="H128" s="310"/>
      <c r="I128" s="396"/>
      <c r="J128" s="310"/>
      <c r="M128" s="310"/>
      <c r="N128" s="310"/>
      <c r="O128" s="234"/>
      <c r="P128" s="234"/>
    </row>
    <row r="129" spans="1:16" x14ac:dyDescent="0.2">
      <c r="A129" s="395"/>
      <c r="B129" s="396"/>
      <c r="C129" s="396"/>
      <c r="D129" s="310"/>
      <c r="E129" s="310"/>
      <c r="F129" s="310"/>
      <c r="G129" s="310"/>
      <c r="H129" s="310"/>
      <c r="I129" s="310"/>
      <c r="J129" s="396"/>
      <c r="K129" s="310"/>
      <c r="L129" s="310"/>
      <c r="M129" s="310"/>
      <c r="N129" s="310"/>
      <c r="O129" s="234"/>
      <c r="P129" s="234"/>
    </row>
    <row r="130" spans="1:16" x14ac:dyDescent="0.2">
      <c r="A130" s="395"/>
      <c r="B130" s="396"/>
      <c r="C130" s="396"/>
      <c r="D130" s="310"/>
      <c r="E130" s="310"/>
      <c r="F130" s="310"/>
      <c r="G130" s="310"/>
      <c r="H130" s="310"/>
      <c r="I130" s="310"/>
      <c r="J130" s="396"/>
      <c r="K130" s="397"/>
      <c r="L130" s="397"/>
      <c r="M130" s="397"/>
      <c r="N130" s="310"/>
      <c r="O130" s="234"/>
      <c r="P130" s="234"/>
    </row>
    <row r="131" spans="1:16" x14ac:dyDescent="0.2">
      <c r="A131" s="395"/>
      <c r="B131" s="396"/>
      <c r="C131" s="396"/>
      <c r="D131" s="310"/>
      <c r="E131" s="310"/>
      <c r="F131" s="310"/>
      <c r="G131" s="310"/>
      <c r="H131" s="310"/>
      <c r="I131" s="310"/>
      <c r="J131" s="225"/>
      <c r="K131" s="397"/>
      <c r="L131" s="397"/>
      <c r="M131" s="397"/>
      <c r="N131" s="225"/>
      <c r="O131" s="234"/>
      <c r="P131" s="234"/>
    </row>
    <row r="132" spans="1:16" x14ac:dyDescent="0.2">
      <c r="A132" s="395"/>
      <c r="B132" s="396"/>
      <c r="C132" s="396"/>
      <c r="D132" s="310"/>
      <c r="E132" s="310"/>
      <c r="F132" s="310"/>
      <c r="G132" s="310"/>
      <c r="H132" s="310"/>
      <c r="I132" s="310"/>
      <c r="J132" s="225"/>
      <c r="K132" s="397"/>
      <c r="L132" s="397"/>
      <c r="M132" s="397"/>
      <c r="N132" s="225"/>
      <c r="O132" s="234"/>
      <c r="P132" s="234"/>
    </row>
    <row r="133" spans="1:16" x14ac:dyDescent="0.2">
      <c r="A133" s="395"/>
      <c r="B133" s="396"/>
      <c r="C133" s="396"/>
      <c r="D133" s="310"/>
      <c r="E133" s="310"/>
      <c r="F133" s="310"/>
      <c r="G133" s="310"/>
      <c r="H133" s="310"/>
      <c r="I133" s="310"/>
      <c r="J133" s="225"/>
      <c r="K133" s="397"/>
      <c r="L133" s="397"/>
      <c r="M133" s="397"/>
      <c r="N133" s="225"/>
      <c r="O133" s="234"/>
      <c r="P133" s="234"/>
    </row>
    <row r="134" spans="1:16" x14ac:dyDescent="0.2">
      <c r="A134" s="398"/>
      <c r="B134" s="225"/>
      <c r="C134" s="225"/>
      <c r="D134" s="225"/>
      <c r="E134" s="225"/>
      <c r="F134" s="225"/>
      <c r="G134" s="225"/>
      <c r="H134" s="225"/>
      <c r="I134" s="225"/>
      <c r="J134" s="225"/>
      <c r="K134" s="397"/>
      <c r="L134" s="397"/>
      <c r="M134" s="397"/>
      <c r="N134" s="225"/>
      <c r="O134" s="234"/>
      <c r="P134" s="234"/>
    </row>
    <row r="135" spans="1:16" x14ac:dyDescent="0.2">
      <c r="A135" s="398"/>
      <c r="B135" s="225"/>
      <c r="C135" s="225"/>
      <c r="D135" s="225"/>
      <c r="E135" s="225"/>
      <c r="F135" s="225"/>
      <c r="G135" s="225"/>
      <c r="H135" s="225"/>
      <c r="I135" s="225"/>
      <c r="J135" s="225"/>
      <c r="K135" s="399"/>
      <c r="L135" s="399"/>
      <c r="M135" s="397"/>
      <c r="N135" s="225"/>
      <c r="O135" s="234"/>
      <c r="P135" s="234"/>
    </row>
    <row r="136" spans="1:16" x14ac:dyDescent="0.2">
      <c r="A136" s="400"/>
      <c r="B136" s="401"/>
      <c r="C136" s="401"/>
      <c r="D136" s="225"/>
      <c r="E136" s="225"/>
      <c r="F136" s="225"/>
      <c r="G136" s="225"/>
      <c r="H136" s="225"/>
      <c r="I136" s="225"/>
      <c r="J136" s="401"/>
      <c r="K136" s="399"/>
      <c r="L136" s="399"/>
      <c r="M136" s="397"/>
      <c r="N136" s="225"/>
      <c r="O136" s="234"/>
      <c r="P136" s="234"/>
    </row>
    <row r="137" spans="1:16" x14ac:dyDescent="0.2">
      <c r="A137" s="400"/>
      <c r="B137" s="401"/>
      <c r="C137" s="401"/>
      <c r="D137" s="225"/>
      <c r="E137" s="225"/>
      <c r="F137" s="225"/>
      <c r="G137" s="225"/>
      <c r="H137" s="225"/>
      <c r="I137" s="225"/>
      <c r="J137" s="401"/>
      <c r="K137" s="397"/>
      <c r="L137" s="397"/>
      <c r="M137" s="397"/>
      <c r="N137" s="225"/>
      <c r="O137" s="234"/>
      <c r="P137" s="234"/>
    </row>
    <row r="138" spans="1:16" x14ac:dyDescent="0.2">
      <c r="A138" s="398"/>
      <c r="B138" s="225"/>
      <c r="C138" s="225"/>
      <c r="D138" s="225"/>
      <c r="E138" s="225"/>
      <c r="F138" s="225"/>
      <c r="G138" s="225"/>
      <c r="H138" s="225"/>
      <c r="I138" s="225"/>
      <c r="J138" s="225"/>
      <c r="K138" s="411"/>
      <c r="L138" s="411"/>
      <c r="M138" s="411"/>
      <c r="N138" s="225"/>
      <c r="O138" s="234"/>
      <c r="P138" s="234"/>
    </row>
    <row r="139" spans="1:16" x14ac:dyDescent="0.2">
      <c r="A139" s="412"/>
      <c r="B139" s="406"/>
      <c r="C139" s="406"/>
      <c r="D139" s="406"/>
      <c r="E139" s="406"/>
      <c r="F139" s="406"/>
      <c r="G139" s="406"/>
      <c r="H139" s="406"/>
      <c r="I139" s="406"/>
      <c r="J139" s="406"/>
      <c r="K139" s="411"/>
      <c r="L139" s="411"/>
      <c r="M139" s="411"/>
      <c r="N139" s="406"/>
      <c r="O139" s="234"/>
      <c r="P139" s="234"/>
    </row>
    <row r="140" spans="1:16" x14ac:dyDescent="0.2">
      <c r="A140" s="412"/>
      <c r="B140" s="406"/>
      <c r="C140" s="406"/>
      <c r="D140" s="406"/>
      <c r="E140" s="406"/>
      <c r="F140" s="406"/>
      <c r="G140" s="406"/>
      <c r="H140" s="406"/>
      <c r="I140" s="406"/>
      <c r="J140" s="406"/>
      <c r="K140" s="310"/>
      <c r="L140" s="310"/>
      <c r="M140" s="310"/>
      <c r="N140" s="406"/>
      <c r="O140" s="234"/>
      <c r="P140" s="234"/>
    </row>
    <row r="141" spans="1:16" x14ac:dyDescent="0.2">
      <c r="A141" s="395"/>
      <c r="B141" s="396"/>
      <c r="C141" s="396"/>
      <c r="D141" s="310"/>
      <c r="E141" s="310"/>
      <c r="F141" s="310"/>
      <c r="G141" s="310"/>
      <c r="H141" s="310"/>
      <c r="I141" s="310"/>
      <c r="J141" s="396"/>
      <c r="K141" s="310"/>
      <c r="L141" s="310"/>
      <c r="M141" s="310"/>
      <c r="N141" s="310"/>
      <c r="O141" s="234"/>
      <c r="P141" s="234"/>
    </row>
    <row r="142" spans="1:16" x14ac:dyDescent="0.2">
      <c r="A142" s="395"/>
      <c r="B142" s="396"/>
      <c r="C142" s="396"/>
      <c r="D142" s="310"/>
      <c r="E142" s="310"/>
      <c r="F142" s="310"/>
      <c r="G142" s="310"/>
      <c r="H142" s="310"/>
      <c r="I142" s="310"/>
      <c r="J142" s="396"/>
      <c r="K142" s="310"/>
      <c r="L142" s="310"/>
      <c r="M142" s="310"/>
      <c r="N142" s="310"/>
      <c r="O142" s="234"/>
      <c r="P142" s="234"/>
    </row>
    <row r="143" spans="1:16" x14ac:dyDescent="0.2">
      <c r="A143" s="395"/>
      <c r="B143" s="396"/>
      <c r="C143" s="396"/>
      <c r="D143" s="310"/>
      <c r="E143" s="310"/>
      <c r="F143" s="310"/>
      <c r="G143" s="310"/>
      <c r="H143" s="310"/>
      <c r="I143" s="310"/>
      <c r="J143" s="396"/>
      <c r="K143" s="310"/>
      <c r="L143" s="310"/>
      <c r="M143" s="310"/>
      <c r="N143" s="310"/>
      <c r="O143" s="234"/>
      <c r="P143" s="234"/>
    </row>
    <row r="144" spans="1:16" x14ac:dyDescent="0.2">
      <c r="A144" s="395"/>
      <c r="B144" s="396"/>
      <c r="C144" s="396"/>
      <c r="D144" s="310"/>
      <c r="E144" s="310"/>
      <c r="F144" s="310"/>
      <c r="G144" s="310"/>
      <c r="H144" s="310"/>
      <c r="I144" s="310"/>
      <c r="J144" s="396"/>
      <c r="K144" s="310"/>
      <c r="L144" s="310"/>
      <c r="M144" s="310"/>
      <c r="N144" s="310"/>
      <c r="O144" s="234"/>
      <c r="P144" s="234"/>
    </row>
    <row r="145" spans="1:16" x14ac:dyDescent="0.2">
      <c r="A145" s="396"/>
      <c r="B145" s="396"/>
      <c r="C145" s="396"/>
      <c r="D145" s="310"/>
      <c r="E145" s="310"/>
      <c r="F145" s="310"/>
      <c r="G145" s="310"/>
      <c r="H145" s="310"/>
      <c r="I145" s="310"/>
      <c r="J145" s="396"/>
      <c r="K145" s="310"/>
      <c r="L145" s="310"/>
      <c r="M145" s="310"/>
      <c r="N145" s="310"/>
      <c r="O145" s="234"/>
      <c r="P145" s="234"/>
    </row>
    <row r="146" spans="1:16" x14ac:dyDescent="0.2">
      <c r="A146" s="396"/>
      <c r="B146" s="396"/>
      <c r="C146" s="396"/>
      <c r="D146" s="310"/>
      <c r="E146" s="310"/>
      <c r="F146" s="310"/>
      <c r="G146" s="310"/>
      <c r="H146" s="310"/>
      <c r="I146" s="310"/>
      <c r="J146" s="396"/>
      <c r="K146" s="310"/>
      <c r="L146" s="310"/>
      <c r="M146" s="310"/>
      <c r="N146" s="310"/>
      <c r="O146" s="234"/>
      <c r="P146" s="234"/>
    </row>
    <row r="147" spans="1:16" x14ac:dyDescent="0.2">
      <c r="A147" s="396"/>
      <c r="B147" s="396"/>
      <c r="C147" s="396"/>
      <c r="D147" s="310"/>
      <c r="E147" s="310"/>
      <c r="F147" s="310"/>
      <c r="G147" s="310"/>
      <c r="H147" s="310"/>
      <c r="I147" s="310"/>
      <c r="J147" s="396"/>
      <c r="K147" s="310"/>
      <c r="L147" s="310"/>
      <c r="M147" s="310"/>
      <c r="N147" s="310"/>
      <c r="O147" s="234"/>
      <c r="P147" s="234"/>
    </row>
    <row r="148" spans="1:16" x14ac:dyDescent="0.2">
      <c r="A148" s="396"/>
      <c r="B148" s="396"/>
      <c r="C148" s="396"/>
      <c r="D148" s="310"/>
      <c r="E148" s="310"/>
      <c r="F148" s="310"/>
      <c r="G148" s="310"/>
      <c r="H148" s="310"/>
      <c r="I148" s="310"/>
      <c r="J148" s="396"/>
      <c r="K148" s="310"/>
      <c r="L148" s="310"/>
      <c r="M148" s="310"/>
      <c r="N148" s="310"/>
      <c r="O148" s="234"/>
      <c r="P148" s="234"/>
    </row>
    <row r="149" spans="1:16" x14ac:dyDescent="0.2">
      <c r="A149" s="396"/>
      <c r="B149" s="396"/>
      <c r="C149" s="396"/>
      <c r="D149" s="310"/>
      <c r="E149" s="310"/>
      <c r="F149" s="310"/>
      <c r="G149" s="310"/>
      <c r="H149" s="310"/>
      <c r="I149" s="310"/>
      <c r="J149" s="396"/>
      <c r="K149" s="310"/>
      <c r="L149" s="310"/>
      <c r="M149" s="310"/>
      <c r="N149" s="310"/>
      <c r="O149" s="234"/>
      <c r="P149" s="234"/>
    </row>
    <row r="150" spans="1:16" x14ac:dyDescent="0.2">
      <c r="A150" s="396"/>
      <c r="B150" s="396"/>
      <c r="C150" s="396"/>
      <c r="D150" s="310"/>
      <c r="E150" s="310"/>
      <c r="F150" s="310"/>
      <c r="G150" s="310"/>
      <c r="H150" s="310"/>
      <c r="I150" s="310"/>
      <c r="J150" s="396"/>
      <c r="K150" s="310"/>
      <c r="L150" s="310"/>
      <c r="M150" s="310"/>
      <c r="N150" s="310"/>
      <c r="O150" s="234"/>
      <c r="P150" s="234"/>
    </row>
    <row r="151" spans="1:16" x14ac:dyDescent="0.2">
      <c r="A151" s="396"/>
      <c r="B151" s="396"/>
      <c r="C151" s="396"/>
      <c r="D151" s="310"/>
      <c r="E151" s="310"/>
      <c r="F151" s="310"/>
      <c r="G151" s="310"/>
      <c r="H151" s="310"/>
      <c r="I151" s="310"/>
      <c r="J151" s="396"/>
      <c r="K151" s="310"/>
      <c r="L151" s="310"/>
      <c r="M151" s="310"/>
      <c r="N151" s="310"/>
      <c r="O151" s="234"/>
      <c r="P151" s="234"/>
    </row>
    <row r="152" spans="1:16" x14ac:dyDescent="0.2">
      <c r="A152" s="396"/>
      <c r="B152" s="396"/>
      <c r="C152" s="396"/>
      <c r="D152" s="310"/>
      <c r="E152" s="310"/>
      <c r="F152" s="310"/>
      <c r="G152" s="310"/>
      <c r="H152" s="310"/>
      <c r="I152" s="310"/>
      <c r="J152" s="396"/>
      <c r="K152" s="310"/>
      <c r="L152" s="310"/>
      <c r="M152" s="310"/>
      <c r="N152" s="310"/>
      <c r="O152" s="234"/>
      <c r="P152" s="234"/>
    </row>
    <row r="153" spans="1:16" x14ac:dyDescent="0.2">
      <c r="A153" s="396"/>
      <c r="B153" s="396"/>
      <c r="C153" s="396"/>
      <c r="D153" s="310"/>
      <c r="E153" s="310"/>
      <c r="F153" s="310"/>
      <c r="G153" s="310"/>
      <c r="H153" s="310"/>
      <c r="I153" s="310"/>
      <c r="J153" s="396"/>
      <c r="K153" s="310"/>
      <c r="L153" s="310"/>
      <c r="M153" s="310"/>
      <c r="N153" s="310"/>
      <c r="O153" s="234"/>
      <c r="P153" s="234"/>
    </row>
    <row r="154" spans="1:16" x14ac:dyDescent="0.2">
      <c r="A154" s="396"/>
      <c r="B154" s="396"/>
      <c r="C154" s="396"/>
      <c r="D154" s="310"/>
      <c r="E154" s="310"/>
      <c r="F154" s="310"/>
      <c r="G154" s="310"/>
      <c r="H154" s="310"/>
      <c r="I154" s="310"/>
      <c r="J154" s="396"/>
      <c r="K154" s="310"/>
      <c r="L154" s="310"/>
      <c r="M154" s="310"/>
      <c r="N154" s="310"/>
      <c r="O154" s="234"/>
      <c r="P154" s="234"/>
    </row>
    <row r="155" spans="1:16" x14ac:dyDescent="0.2">
      <c r="A155" s="396"/>
      <c r="B155" s="396"/>
      <c r="C155" s="396"/>
      <c r="D155" s="310"/>
      <c r="E155" s="310"/>
      <c r="F155" s="310"/>
      <c r="G155" s="310"/>
      <c r="H155" s="310"/>
      <c r="I155" s="310"/>
      <c r="J155" s="396"/>
      <c r="K155" s="310"/>
      <c r="L155" s="310"/>
      <c r="M155" s="310"/>
      <c r="N155" s="310"/>
      <c r="O155" s="234"/>
      <c r="P155" s="234"/>
    </row>
    <row r="156" spans="1:16" x14ac:dyDescent="0.2">
      <c r="A156" s="396"/>
      <c r="B156" s="396"/>
      <c r="C156" s="396"/>
      <c r="D156" s="310"/>
      <c r="E156" s="310"/>
      <c r="F156" s="310"/>
      <c r="G156" s="310"/>
      <c r="H156" s="310"/>
      <c r="I156" s="310"/>
      <c r="J156" s="396"/>
      <c r="K156" s="310"/>
      <c r="L156" s="310"/>
      <c r="M156" s="310"/>
      <c r="N156" s="310"/>
      <c r="O156" s="234"/>
      <c r="P156" s="234"/>
    </row>
    <row r="157" spans="1:16" x14ac:dyDescent="0.2">
      <c r="A157" s="396"/>
      <c r="B157" s="396"/>
      <c r="C157" s="396"/>
      <c r="D157" s="310"/>
      <c r="E157" s="310"/>
      <c r="F157" s="310"/>
      <c r="G157" s="310"/>
      <c r="H157" s="310"/>
      <c r="I157" s="310"/>
      <c r="J157" s="396"/>
      <c r="K157" s="310"/>
      <c r="L157" s="310"/>
      <c r="M157" s="310"/>
      <c r="N157" s="310"/>
      <c r="O157" s="234"/>
      <c r="P157" s="234"/>
    </row>
    <row r="158" spans="1:16" x14ac:dyDescent="0.2">
      <c r="A158" s="396"/>
      <c r="B158" s="396"/>
      <c r="C158" s="396"/>
      <c r="D158" s="310"/>
      <c r="E158" s="310"/>
      <c r="F158" s="310"/>
      <c r="G158" s="310"/>
      <c r="H158" s="310"/>
      <c r="I158" s="310"/>
      <c r="J158" s="396"/>
      <c r="K158" s="397"/>
      <c r="L158" s="397"/>
      <c r="M158" s="397"/>
      <c r="N158" s="310"/>
      <c r="O158" s="234"/>
      <c r="P158" s="234"/>
    </row>
    <row r="159" spans="1:16" x14ac:dyDescent="0.2">
      <c r="A159" s="396"/>
      <c r="B159" s="396"/>
      <c r="C159" s="396"/>
      <c r="D159" s="310"/>
      <c r="E159" s="310"/>
      <c r="F159" s="310"/>
      <c r="G159" s="310"/>
      <c r="H159" s="310"/>
      <c r="I159" s="310"/>
      <c r="J159" s="225"/>
      <c r="K159" s="397"/>
      <c r="L159" s="397"/>
      <c r="M159" s="397"/>
      <c r="N159" s="225"/>
      <c r="O159" s="234"/>
      <c r="P159" s="234"/>
    </row>
    <row r="160" spans="1:16" x14ac:dyDescent="0.2">
      <c r="A160" s="396"/>
      <c r="B160" s="396"/>
      <c r="C160" s="396"/>
      <c r="D160" s="310"/>
      <c r="E160" s="310"/>
      <c r="F160" s="310"/>
      <c r="G160" s="310"/>
      <c r="H160" s="310"/>
      <c r="I160" s="310"/>
      <c r="J160" s="225"/>
      <c r="K160" s="397"/>
      <c r="L160" s="397"/>
      <c r="M160" s="397"/>
      <c r="N160" s="225"/>
      <c r="O160" s="234"/>
      <c r="P160" s="234"/>
    </row>
    <row r="161" spans="1:36" x14ac:dyDescent="0.2">
      <c r="A161" s="396"/>
      <c r="B161" s="396"/>
      <c r="C161" s="396"/>
      <c r="D161" s="310"/>
      <c r="E161" s="310"/>
      <c r="F161" s="310"/>
      <c r="G161" s="310"/>
      <c r="H161" s="310"/>
      <c r="I161" s="310"/>
      <c r="J161" s="225"/>
      <c r="K161" s="397"/>
      <c r="L161" s="397"/>
      <c r="M161" s="397"/>
      <c r="N161" s="225"/>
      <c r="O161" s="234"/>
      <c r="P161" s="234"/>
    </row>
    <row r="162" spans="1:36" x14ac:dyDescent="0.2">
      <c r="A162" s="225"/>
      <c r="B162" s="225"/>
      <c r="C162" s="225"/>
      <c r="D162" s="225"/>
      <c r="E162" s="225"/>
      <c r="F162" s="225"/>
      <c r="G162" s="225"/>
      <c r="H162" s="225"/>
      <c r="I162" s="225"/>
      <c r="J162" s="225"/>
      <c r="K162" s="399"/>
      <c r="L162" s="399"/>
      <c r="M162" s="397"/>
      <c r="N162" s="225"/>
      <c r="O162" s="234"/>
      <c r="P162" s="234"/>
    </row>
    <row r="163" spans="1:36" x14ac:dyDescent="0.2">
      <c r="A163" s="401"/>
      <c r="B163" s="401"/>
      <c r="C163" s="401"/>
      <c r="D163" s="225"/>
      <c r="E163" s="225"/>
      <c r="F163" s="225"/>
      <c r="G163" s="225"/>
      <c r="H163" s="225"/>
      <c r="I163" s="225"/>
      <c r="J163" s="401"/>
      <c r="K163" s="399"/>
      <c r="L163" s="399"/>
      <c r="M163" s="397"/>
      <c r="N163" s="225"/>
      <c r="O163" s="234"/>
      <c r="P163" s="234"/>
    </row>
    <row r="164" spans="1:36" x14ac:dyDescent="0.2">
      <c r="A164" s="401"/>
      <c r="B164" s="401"/>
      <c r="C164" s="401"/>
      <c r="D164" s="225"/>
      <c r="E164" s="225"/>
      <c r="F164" s="225"/>
      <c r="G164" s="225"/>
      <c r="H164" s="225"/>
      <c r="I164" s="225"/>
      <c r="J164" s="401"/>
      <c r="K164" s="397"/>
      <c r="L164" s="397"/>
      <c r="M164" s="397"/>
      <c r="N164" s="225"/>
      <c r="O164" s="234"/>
      <c r="P164" s="234"/>
    </row>
    <row r="165" spans="1:36" x14ac:dyDescent="0.2">
      <c r="A165" s="225"/>
      <c r="B165" s="225"/>
      <c r="C165" s="225"/>
      <c r="D165" s="225"/>
      <c r="E165" s="225"/>
      <c r="F165" s="225"/>
      <c r="G165" s="225"/>
      <c r="H165" s="225"/>
      <c r="I165" s="225"/>
      <c r="J165" s="225"/>
      <c r="K165" s="411"/>
      <c r="L165" s="411"/>
      <c r="M165" s="411"/>
      <c r="N165" s="225"/>
      <c r="O165" s="234"/>
      <c r="P165" s="234"/>
    </row>
    <row r="166" spans="1:36" x14ac:dyDescent="0.2">
      <c r="A166" s="406"/>
      <c r="B166" s="406"/>
      <c r="C166" s="406"/>
      <c r="D166" s="406"/>
      <c r="E166" s="406"/>
      <c r="F166" s="406"/>
      <c r="G166" s="406"/>
      <c r="H166" s="406"/>
      <c r="I166" s="406"/>
      <c r="J166" s="406"/>
      <c r="K166" s="411"/>
      <c r="L166" s="411"/>
      <c r="M166" s="411"/>
      <c r="N166" s="406"/>
      <c r="O166" s="234"/>
      <c r="P166" s="234"/>
    </row>
    <row r="167" spans="1:36" x14ac:dyDescent="0.2">
      <c r="A167" s="406"/>
      <c r="B167" s="406"/>
      <c r="C167" s="406"/>
      <c r="D167" s="406"/>
      <c r="E167" s="406"/>
      <c r="F167" s="406"/>
      <c r="G167" s="406"/>
      <c r="H167" s="406"/>
      <c r="I167" s="406"/>
      <c r="J167" s="406"/>
      <c r="K167" s="310"/>
      <c r="L167" s="310"/>
      <c r="M167" s="310"/>
      <c r="N167" s="406"/>
      <c r="O167" s="234"/>
      <c r="P167" s="234"/>
    </row>
    <row r="168" spans="1:36" x14ac:dyDescent="0.2">
      <c r="A168" s="396"/>
      <c r="B168" s="396"/>
      <c r="C168" s="396"/>
      <c r="D168" s="310"/>
      <c r="E168" s="310"/>
      <c r="F168" s="310"/>
      <c r="G168" s="310"/>
      <c r="H168" s="310"/>
      <c r="I168" s="310"/>
      <c r="J168" s="396"/>
      <c r="K168" s="310"/>
      <c r="L168" s="310"/>
      <c r="M168" s="310"/>
      <c r="N168" s="310"/>
      <c r="O168" s="234"/>
      <c r="P168" s="234"/>
    </row>
    <row r="169" spans="1:36" x14ac:dyDescent="0.2">
      <c r="A169" s="396"/>
      <c r="B169" s="396"/>
      <c r="C169" s="396"/>
      <c r="D169" s="310"/>
      <c r="E169" s="310"/>
      <c r="F169" s="310"/>
      <c r="G169" s="310"/>
      <c r="H169" s="310"/>
      <c r="I169" s="310"/>
      <c r="J169" s="396"/>
      <c r="K169" s="310"/>
      <c r="L169" s="310"/>
      <c r="M169" s="310"/>
      <c r="N169" s="310"/>
      <c r="O169" s="234"/>
      <c r="P169" s="234"/>
    </row>
    <row r="170" spans="1:36" x14ac:dyDescent="0.2">
      <c r="A170" s="396"/>
      <c r="B170" s="396"/>
      <c r="C170" s="396"/>
      <c r="D170" s="310"/>
      <c r="E170" s="310"/>
      <c r="F170" s="310"/>
      <c r="G170" s="310"/>
      <c r="H170" s="310"/>
      <c r="I170" s="310"/>
      <c r="J170" s="396"/>
      <c r="K170" s="310"/>
      <c r="L170" s="310"/>
      <c r="M170" s="310"/>
      <c r="N170" s="310"/>
      <c r="O170" s="234"/>
      <c r="P170" s="234"/>
    </row>
    <row r="171" spans="1:36" x14ac:dyDescent="0.2">
      <c r="A171" s="396"/>
      <c r="B171" s="396"/>
      <c r="C171" s="396"/>
      <c r="D171" s="310"/>
      <c r="E171" s="310"/>
      <c r="F171" s="310"/>
      <c r="G171" s="310"/>
      <c r="H171" s="310"/>
      <c r="I171" s="310"/>
      <c r="J171" s="396"/>
      <c r="K171" s="310"/>
      <c r="L171" s="310"/>
      <c r="M171" s="310"/>
      <c r="N171" s="310"/>
      <c r="O171" s="234"/>
      <c r="P171" s="234"/>
    </row>
    <row r="172" spans="1:36" x14ac:dyDescent="0.2">
      <c r="A172" s="396"/>
      <c r="B172" s="396"/>
      <c r="C172" s="396"/>
      <c r="D172" s="310"/>
      <c r="E172" s="310"/>
      <c r="F172" s="310"/>
      <c r="G172" s="310"/>
      <c r="H172" s="310"/>
      <c r="I172" s="310"/>
      <c r="J172" s="396"/>
      <c r="K172" s="310"/>
      <c r="L172" s="310"/>
      <c r="M172" s="310"/>
      <c r="N172" s="310"/>
      <c r="O172" s="234"/>
      <c r="P172" s="234"/>
    </row>
    <row r="173" spans="1:36" x14ac:dyDescent="0.2">
      <c r="A173" s="396"/>
      <c r="B173" s="396"/>
      <c r="C173" s="396"/>
      <c r="D173" s="310"/>
      <c r="E173" s="310"/>
      <c r="F173" s="310"/>
      <c r="G173" s="310"/>
      <c r="H173" s="310"/>
      <c r="I173" s="310"/>
      <c r="J173" s="396"/>
      <c r="K173" s="310"/>
      <c r="L173" s="310"/>
      <c r="M173" s="310"/>
      <c r="N173" s="310"/>
      <c r="O173" s="234"/>
      <c r="P173" s="234"/>
    </row>
    <row r="174" spans="1:36" x14ac:dyDescent="0.2">
      <c r="A174" s="396"/>
      <c r="B174" s="396"/>
      <c r="C174" s="396"/>
      <c r="D174" s="310"/>
      <c r="E174" s="310"/>
      <c r="F174" s="310"/>
      <c r="G174" s="310"/>
      <c r="H174" s="310"/>
      <c r="I174" s="310"/>
      <c r="J174" s="396"/>
      <c r="K174" s="310"/>
      <c r="L174" s="310"/>
      <c r="M174" s="310"/>
      <c r="N174" s="310"/>
      <c r="O174" s="234"/>
      <c r="P174" s="234"/>
    </row>
    <row r="175" spans="1:36" x14ac:dyDescent="0.2">
      <c r="A175" s="396"/>
      <c r="B175" s="396"/>
      <c r="C175" s="396"/>
      <c r="D175" s="310"/>
      <c r="E175" s="310"/>
      <c r="F175" s="310"/>
      <c r="G175" s="310"/>
      <c r="H175" s="310"/>
      <c r="I175" s="310"/>
      <c r="J175" s="396"/>
      <c r="K175" s="310"/>
      <c r="L175" s="310"/>
      <c r="M175" s="310"/>
      <c r="N175" s="310"/>
      <c r="O175" s="234"/>
      <c r="P175" s="234"/>
      <c r="Q175" s="234"/>
      <c r="R175" s="234"/>
      <c r="S175" s="234"/>
      <c r="T175" s="234"/>
      <c r="U175" s="234"/>
      <c r="V175" s="234"/>
      <c r="W175" s="234"/>
      <c r="X175" s="234"/>
      <c r="Y175" s="234"/>
      <c r="Z175" s="234"/>
      <c r="AA175" s="234"/>
      <c r="AB175" s="234"/>
      <c r="AC175" s="234"/>
      <c r="AD175" s="234"/>
      <c r="AE175" s="234"/>
      <c r="AF175" s="234"/>
      <c r="AG175" s="234"/>
      <c r="AH175" s="234"/>
      <c r="AI175" s="234"/>
      <c r="AJ175" s="234"/>
    </row>
    <row r="176" spans="1:36" x14ac:dyDescent="0.2">
      <c r="A176" s="396"/>
      <c r="B176" s="396"/>
      <c r="C176" s="396"/>
      <c r="D176" s="310"/>
      <c r="E176" s="310"/>
      <c r="F176" s="310"/>
      <c r="G176" s="310"/>
      <c r="H176" s="310"/>
      <c r="I176" s="310"/>
      <c r="J176" s="396"/>
      <c r="K176" s="310"/>
      <c r="L176" s="310"/>
      <c r="M176" s="310"/>
      <c r="N176" s="310"/>
      <c r="O176" s="234"/>
      <c r="P176" s="234"/>
      <c r="Q176" s="234"/>
      <c r="R176" s="234"/>
      <c r="S176" s="234"/>
      <c r="T176" s="234"/>
      <c r="U176" s="234"/>
      <c r="V176" s="234"/>
      <c r="W176" s="234"/>
      <c r="X176" s="234"/>
      <c r="Y176" s="234"/>
      <c r="Z176" s="234"/>
      <c r="AA176" s="234"/>
      <c r="AB176" s="234"/>
      <c r="AC176" s="234"/>
      <c r="AD176" s="234"/>
      <c r="AE176" s="234"/>
      <c r="AF176" s="234"/>
      <c r="AG176" s="234"/>
      <c r="AH176" s="234"/>
      <c r="AI176" s="234"/>
      <c r="AJ176" s="234"/>
    </row>
    <row r="177" spans="1:216" x14ac:dyDescent="0.2">
      <c r="A177" s="396"/>
      <c r="B177" s="396"/>
      <c r="C177" s="396"/>
      <c r="D177" s="310"/>
      <c r="E177" s="310"/>
      <c r="F177" s="310"/>
      <c r="G177" s="310"/>
      <c r="H177" s="310"/>
      <c r="I177" s="310"/>
      <c r="J177" s="396"/>
      <c r="K177" s="310"/>
      <c r="L177" s="310"/>
      <c r="M177" s="310"/>
      <c r="N177" s="310"/>
      <c r="O177" s="234"/>
      <c r="P177" s="234"/>
      <c r="Q177" s="234"/>
      <c r="R177" s="234"/>
      <c r="S177" s="234"/>
      <c r="T177" s="234"/>
      <c r="U177" s="234"/>
      <c r="V177" s="234"/>
      <c r="W177" s="234"/>
      <c r="X177" s="234"/>
      <c r="Y177" s="234"/>
      <c r="Z177" s="234"/>
      <c r="AA177" s="234"/>
      <c r="AB177" s="234"/>
      <c r="AC177" s="234"/>
      <c r="AD177" s="234"/>
      <c r="AE177" s="234"/>
      <c r="AF177" s="234"/>
      <c r="AG177" s="234"/>
      <c r="AH177" s="234"/>
      <c r="AI177" s="234"/>
      <c r="AJ177" s="234"/>
    </row>
    <row r="178" spans="1:216" x14ac:dyDescent="0.2">
      <c r="A178" s="396"/>
      <c r="B178" s="396"/>
      <c r="C178" s="396"/>
      <c r="D178" s="310"/>
      <c r="E178" s="310"/>
      <c r="F178" s="310"/>
      <c r="G178" s="310"/>
      <c r="H178" s="310"/>
      <c r="I178" s="310"/>
      <c r="J178" s="396"/>
      <c r="K178" s="310"/>
      <c r="L178" s="310"/>
      <c r="M178" s="310"/>
      <c r="N178" s="310"/>
      <c r="O178" s="234"/>
      <c r="P178" s="234"/>
      <c r="Q178" s="234"/>
      <c r="R178" s="234"/>
      <c r="S178" s="234"/>
      <c r="T178" s="234"/>
      <c r="U178" s="234"/>
      <c r="V178" s="234"/>
      <c r="W178" s="234"/>
      <c r="X178" s="234"/>
      <c r="Y178" s="234"/>
      <c r="Z178" s="234"/>
      <c r="AA178" s="234"/>
      <c r="AB178" s="234"/>
      <c r="AC178" s="234"/>
      <c r="AD178" s="234"/>
      <c r="AE178" s="234"/>
      <c r="AF178" s="234"/>
      <c r="AG178" s="234"/>
      <c r="AH178" s="234"/>
      <c r="AI178" s="234"/>
      <c r="AJ178" s="234"/>
    </row>
    <row r="179" spans="1:216" x14ac:dyDescent="0.2">
      <c r="A179" s="396"/>
      <c r="B179" s="396"/>
      <c r="C179" s="396"/>
      <c r="D179" s="310"/>
      <c r="E179" s="310"/>
      <c r="F179" s="310"/>
      <c r="G179" s="310"/>
      <c r="H179" s="310"/>
      <c r="I179" s="310"/>
      <c r="J179" s="396"/>
      <c r="K179" s="310"/>
      <c r="L179" s="310"/>
      <c r="M179" s="310"/>
      <c r="N179" s="310"/>
      <c r="O179" s="234"/>
      <c r="P179" s="234"/>
      <c r="V179" s="234"/>
      <c r="W179" s="234"/>
      <c r="X179" s="234"/>
      <c r="Y179" s="234"/>
      <c r="Z179" s="234"/>
      <c r="AA179" s="234"/>
      <c r="AB179" s="234"/>
      <c r="AC179" s="234"/>
      <c r="AD179" s="234"/>
      <c r="AE179" s="234"/>
      <c r="AF179" s="234"/>
      <c r="AG179" s="234"/>
      <c r="AH179" s="234"/>
      <c r="AI179" s="234"/>
      <c r="AJ179" s="234"/>
    </row>
    <row r="180" spans="1:216" x14ac:dyDescent="0.2">
      <c r="A180" s="396"/>
      <c r="B180" s="396"/>
      <c r="C180" s="396"/>
      <c r="D180" s="310"/>
      <c r="E180" s="310"/>
      <c r="F180" s="310"/>
      <c r="G180" s="310"/>
      <c r="H180" s="310"/>
      <c r="I180" s="310"/>
      <c r="J180" s="396"/>
      <c r="K180" s="310"/>
      <c r="L180" s="310"/>
      <c r="M180" s="310"/>
      <c r="N180" s="310"/>
      <c r="O180" s="234"/>
      <c r="P180" s="234"/>
      <c r="AF180" s="234"/>
      <c r="AG180" s="234"/>
      <c r="AH180" s="234"/>
      <c r="AI180" s="234"/>
      <c r="AJ180" s="234"/>
      <c r="EO180" s="234"/>
      <c r="EP180" s="234"/>
      <c r="EQ180" s="234"/>
      <c r="ER180" s="234"/>
      <c r="ES180" s="234"/>
      <c r="ET180" s="234"/>
      <c r="EU180" s="234"/>
      <c r="EV180" s="234"/>
      <c r="EW180" s="234"/>
      <c r="EX180" s="234"/>
      <c r="GU180" s="234"/>
      <c r="GV180" s="234"/>
      <c r="GW180" s="234"/>
      <c r="GX180" s="234"/>
      <c r="GY180" s="234"/>
      <c r="GZ180" s="234"/>
      <c r="HA180" s="234"/>
      <c r="HB180" s="234"/>
      <c r="HC180" s="234"/>
      <c r="HD180" s="234"/>
      <c r="HE180" s="234"/>
      <c r="HF180" s="234"/>
      <c r="HG180" s="234"/>
      <c r="HH180" s="234"/>
    </row>
    <row r="181" spans="1:216" x14ac:dyDescent="0.2">
      <c r="A181" s="396"/>
      <c r="B181" s="396"/>
      <c r="C181" s="396"/>
      <c r="D181" s="310"/>
      <c r="E181" s="310"/>
      <c r="F181" s="310"/>
      <c r="G181" s="310"/>
      <c r="H181" s="310"/>
      <c r="I181" s="310"/>
      <c r="J181" s="396"/>
      <c r="K181" s="310"/>
      <c r="L181" s="310"/>
      <c r="M181" s="310"/>
      <c r="N181" s="310"/>
      <c r="O181" s="234"/>
      <c r="P181" s="234"/>
      <c r="AF181" s="234"/>
      <c r="AG181" s="234"/>
      <c r="AH181" s="234"/>
      <c r="AI181" s="234"/>
      <c r="AJ181" s="234"/>
      <c r="EO181" s="234"/>
      <c r="EP181" s="234"/>
      <c r="EQ181" s="413"/>
      <c r="ER181" s="413"/>
      <c r="ES181" s="413"/>
      <c r="ET181" s="413"/>
      <c r="EU181" s="234"/>
      <c r="EV181" s="234"/>
      <c r="EW181" s="234"/>
      <c r="EX181" s="234"/>
      <c r="GU181" s="234"/>
      <c r="GV181" s="234"/>
      <c r="GW181" s="234"/>
      <c r="GX181" s="234"/>
      <c r="GY181" s="234"/>
      <c r="GZ181" s="234"/>
      <c r="HA181" s="234"/>
      <c r="HB181" s="234"/>
      <c r="HC181" s="234"/>
      <c r="HD181" s="234"/>
      <c r="HE181" s="234"/>
      <c r="HF181" s="234"/>
      <c r="HG181" s="234"/>
      <c r="HH181" s="234"/>
    </row>
    <row r="182" spans="1:216" x14ac:dyDescent="0.2">
      <c r="A182" s="396"/>
      <c r="B182" s="396"/>
      <c r="C182" s="396"/>
      <c r="D182" s="310"/>
      <c r="E182" s="310"/>
      <c r="F182" s="310"/>
      <c r="G182" s="310"/>
      <c r="H182" s="310"/>
      <c r="I182" s="310"/>
      <c r="J182" s="396"/>
      <c r="K182" s="310"/>
      <c r="L182" s="310"/>
      <c r="M182" s="310"/>
      <c r="N182" s="310"/>
      <c r="O182" s="234"/>
      <c r="P182" s="234"/>
      <c r="AF182" s="234"/>
      <c r="AG182" s="234"/>
      <c r="AH182" s="234"/>
      <c r="AI182" s="234"/>
      <c r="AJ182" s="234"/>
      <c r="EO182" s="234"/>
      <c r="EP182" s="234"/>
      <c r="EQ182" s="413"/>
      <c r="ER182" s="413"/>
      <c r="ES182" s="413"/>
      <c r="ET182" s="413"/>
      <c r="EU182" s="234"/>
      <c r="EV182" s="234"/>
      <c r="EW182" s="234"/>
      <c r="EX182" s="234"/>
      <c r="GU182" s="413"/>
      <c r="GV182" s="413"/>
      <c r="GW182" s="413"/>
      <c r="GX182" s="413"/>
      <c r="GY182" s="234"/>
      <c r="GZ182" s="234"/>
      <c r="HA182" s="234"/>
      <c r="HB182" s="234"/>
      <c r="HC182" s="413"/>
      <c r="HD182" s="413"/>
      <c r="HE182" s="413"/>
      <c r="HF182" s="413"/>
      <c r="HG182" s="234"/>
      <c r="HH182" s="234"/>
    </row>
    <row r="183" spans="1:216" x14ac:dyDescent="0.2">
      <c r="A183" s="396"/>
      <c r="B183" s="396"/>
      <c r="C183" s="396"/>
      <c r="D183" s="310"/>
      <c r="E183" s="310"/>
      <c r="F183" s="310"/>
      <c r="G183" s="310"/>
      <c r="H183" s="310"/>
      <c r="I183" s="310"/>
      <c r="J183" s="396"/>
      <c r="K183" s="310"/>
      <c r="L183" s="310"/>
      <c r="M183" s="310"/>
      <c r="N183" s="310"/>
      <c r="O183" s="234"/>
      <c r="P183" s="234"/>
      <c r="AF183" s="234"/>
      <c r="AG183" s="234"/>
      <c r="AH183" s="234"/>
      <c r="AI183" s="234"/>
      <c r="AJ183" s="234"/>
      <c r="EO183" s="234"/>
      <c r="EP183" s="234"/>
      <c r="EQ183" s="234"/>
      <c r="ER183" s="234"/>
      <c r="ES183" s="234"/>
      <c r="ET183" s="234"/>
      <c r="EU183" s="234"/>
      <c r="EV183" s="234"/>
      <c r="EW183" s="234"/>
      <c r="EX183" s="234"/>
      <c r="GU183" s="413"/>
      <c r="GV183" s="413"/>
      <c r="GW183" s="413"/>
      <c r="GX183" s="413"/>
      <c r="GY183" s="234"/>
      <c r="GZ183" s="234"/>
      <c r="HA183" s="234"/>
      <c r="HB183" s="234"/>
      <c r="HC183" s="413"/>
      <c r="HD183" s="413"/>
      <c r="HE183" s="413"/>
      <c r="HF183" s="413"/>
      <c r="HG183" s="234"/>
      <c r="HH183" s="234"/>
    </row>
    <row r="184" spans="1:216" x14ac:dyDescent="0.2">
      <c r="A184" s="396"/>
      <c r="B184" s="396"/>
      <c r="C184" s="396"/>
      <c r="D184" s="310"/>
      <c r="E184" s="310"/>
      <c r="F184" s="310"/>
      <c r="G184" s="310"/>
      <c r="H184" s="310"/>
      <c r="I184" s="310"/>
      <c r="J184" s="396"/>
      <c r="K184" s="310"/>
      <c r="L184" s="310"/>
      <c r="M184" s="310"/>
      <c r="N184" s="310"/>
      <c r="O184" s="234"/>
      <c r="P184" s="234"/>
      <c r="AF184" s="234"/>
      <c r="AG184" s="234"/>
      <c r="AH184" s="234"/>
      <c r="AI184" s="234"/>
      <c r="AJ184" s="234"/>
      <c r="EO184" s="241"/>
      <c r="EP184" s="234"/>
      <c r="EQ184" s="241"/>
      <c r="ER184" s="241"/>
      <c r="ES184" s="241"/>
      <c r="ET184" s="241"/>
      <c r="EU184" s="241"/>
      <c r="EV184" s="241"/>
      <c r="EW184" s="241"/>
      <c r="EX184" s="234"/>
      <c r="GU184" s="234"/>
      <c r="GV184" s="234"/>
      <c r="GW184" s="234"/>
      <c r="GX184" s="234"/>
      <c r="GY184" s="234"/>
      <c r="GZ184" s="234"/>
      <c r="HA184" s="234"/>
      <c r="HB184" s="234"/>
      <c r="HC184" s="234"/>
      <c r="HD184" s="234"/>
      <c r="HE184" s="234"/>
      <c r="HF184" s="234"/>
      <c r="HG184" s="234"/>
      <c r="HH184" s="234"/>
    </row>
    <row r="185" spans="1:216" x14ac:dyDescent="0.2">
      <c r="A185" s="396"/>
      <c r="B185" s="396"/>
      <c r="C185" s="396"/>
      <c r="D185" s="310"/>
      <c r="E185" s="310"/>
      <c r="F185" s="310"/>
      <c r="G185" s="310"/>
      <c r="H185" s="310"/>
      <c r="I185" s="310"/>
      <c r="J185" s="396"/>
      <c r="K185" s="397"/>
      <c r="L185" s="397"/>
      <c r="M185" s="397"/>
      <c r="N185" s="310"/>
      <c r="O185" s="234"/>
      <c r="P185" s="234"/>
      <c r="AF185" s="234"/>
      <c r="AG185" s="234"/>
      <c r="AH185" s="234"/>
      <c r="AI185" s="234"/>
      <c r="AJ185" s="234"/>
      <c r="EO185" s="241"/>
      <c r="EP185" s="234"/>
      <c r="EQ185" s="241"/>
      <c r="ER185" s="241"/>
      <c r="ES185" s="241"/>
      <c r="ET185" s="241"/>
      <c r="EU185" s="241"/>
      <c r="EV185" s="241"/>
      <c r="EW185" s="241"/>
      <c r="EX185" s="234"/>
      <c r="GU185" s="241"/>
      <c r="GV185" s="241"/>
      <c r="GW185" s="241"/>
      <c r="GX185" s="241"/>
      <c r="GY185" s="241"/>
      <c r="GZ185" s="241"/>
      <c r="HA185" s="241"/>
      <c r="HB185" s="234"/>
      <c r="HC185" s="241"/>
      <c r="HD185" s="241"/>
      <c r="HE185" s="241"/>
      <c r="HF185" s="241"/>
      <c r="HG185" s="241"/>
      <c r="HH185" s="241"/>
    </row>
    <row r="186" spans="1:216" x14ac:dyDescent="0.2">
      <c r="A186" s="396"/>
      <c r="B186" s="396"/>
      <c r="C186" s="396"/>
      <c r="D186" s="310"/>
      <c r="E186" s="310"/>
      <c r="F186" s="310"/>
      <c r="G186" s="310"/>
      <c r="H186" s="310"/>
      <c r="I186" s="310"/>
      <c r="J186" s="225"/>
      <c r="K186" s="397"/>
      <c r="L186" s="397"/>
      <c r="M186" s="397"/>
      <c r="N186" s="225"/>
      <c r="O186" s="234"/>
      <c r="P186" s="234"/>
      <c r="AF186" s="234"/>
      <c r="AG186" s="234"/>
      <c r="AH186" s="234"/>
      <c r="AI186" s="234"/>
      <c r="AJ186" s="234"/>
      <c r="EO186" s="414"/>
      <c r="EP186" s="234"/>
      <c r="EQ186" s="415"/>
      <c r="ER186" s="276"/>
      <c r="ES186" s="415"/>
      <c r="ET186" s="415"/>
      <c r="EU186" s="277"/>
      <c r="EV186" s="277"/>
      <c r="EW186" s="414"/>
      <c r="EX186" s="234"/>
      <c r="GU186" s="241"/>
      <c r="GV186" s="241"/>
      <c r="GW186" s="241"/>
      <c r="GX186" s="241"/>
      <c r="GY186" s="241"/>
      <c r="GZ186" s="241"/>
      <c r="HA186" s="241"/>
      <c r="HB186" s="234"/>
      <c r="HC186" s="241"/>
      <c r="HD186" s="241"/>
      <c r="HE186" s="241"/>
      <c r="HF186" s="241"/>
      <c r="HG186" s="241"/>
      <c r="HH186" s="241"/>
    </row>
    <row r="187" spans="1:216" x14ac:dyDescent="0.2">
      <c r="A187" s="396"/>
      <c r="B187" s="396"/>
      <c r="C187" s="396"/>
      <c r="D187" s="310"/>
      <c r="E187" s="310"/>
      <c r="F187" s="310"/>
      <c r="G187" s="310"/>
      <c r="H187" s="310"/>
      <c r="I187" s="310"/>
      <c r="J187" s="225"/>
      <c r="K187" s="397"/>
      <c r="L187" s="397"/>
      <c r="M187" s="397"/>
      <c r="N187" s="225"/>
      <c r="O187" s="234"/>
      <c r="P187" s="234"/>
      <c r="AF187" s="234"/>
      <c r="AG187" s="234"/>
      <c r="AH187" s="234"/>
      <c r="AI187" s="234"/>
      <c r="AJ187" s="234"/>
      <c r="EO187" s="414"/>
      <c r="EP187" s="234"/>
      <c r="EQ187" s="415"/>
      <c r="ER187" s="276"/>
      <c r="ES187" s="415"/>
      <c r="ET187" s="415"/>
      <c r="EU187" s="277"/>
      <c r="EV187" s="277"/>
      <c r="EW187" s="414"/>
      <c r="EX187" s="234"/>
      <c r="GU187" s="415"/>
      <c r="GV187" s="276"/>
      <c r="GW187" s="415"/>
      <c r="GX187" s="415"/>
      <c r="GY187" s="277"/>
      <c r="GZ187" s="277"/>
      <c r="HA187" s="414"/>
      <c r="HB187" s="234"/>
      <c r="HC187" s="415"/>
      <c r="HD187" s="276"/>
      <c r="HE187" s="415"/>
      <c r="HF187" s="415"/>
      <c r="HG187" s="277"/>
      <c r="HH187" s="277"/>
    </row>
    <row r="188" spans="1:216" x14ac:dyDescent="0.2">
      <c r="A188" s="396"/>
      <c r="B188" s="396"/>
      <c r="C188" s="396"/>
      <c r="D188" s="310"/>
      <c r="E188" s="310"/>
      <c r="F188" s="310"/>
      <c r="G188" s="310"/>
      <c r="H188" s="310"/>
      <c r="I188" s="310"/>
      <c r="J188" s="225"/>
      <c r="K188" s="397"/>
      <c r="L188" s="397"/>
      <c r="M188" s="397"/>
      <c r="N188" s="225"/>
      <c r="O188" s="234"/>
      <c r="P188" s="234"/>
      <c r="AF188" s="234"/>
      <c r="AG188" s="234"/>
      <c r="AH188" s="234"/>
      <c r="AI188" s="234"/>
      <c r="AJ188" s="234"/>
      <c r="EO188" s="414"/>
      <c r="EP188" s="234"/>
      <c r="EQ188" s="415"/>
      <c r="ER188" s="276"/>
      <c r="ES188" s="415"/>
      <c r="ET188" s="415"/>
      <c r="EU188" s="277"/>
      <c r="EV188" s="277"/>
      <c r="EW188" s="414"/>
      <c r="EX188" s="234"/>
      <c r="GU188" s="415"/>
      <c r="GV188" s="276"/>
      <c r="GW188" s="415"/>
      <c r="GX188" s="415"/>
      <c r="GY188" s="277"/>
      <c r="GZ188" s="277"/>
      <c r="HA188" s="414"/>
      <c r="HB188" s="234"/>
      <c r="HC188" s="415"/>
      <c r="HD188" s="276"/>
      <c r="HE188" s="415"/>
      <c r="HF188" s="415"/>
      <c r="HG188" s="277"/>
      <c r="HH188" s="277"/>
    </row>
    <row r="189" spans="1:216" x14ac:dyDescent="0.2">
      <c r="A189" s="225"/>
      <c r="B189" s="225"/>
      <c r="C189" s="225"/>
      <c r="D189" s="225"/>
      <c r="E189" s="225"/>
      <c r="F189" s="225"/>
      <c r="G189" s="225"/>
      <c r="H189" s="225"/>
      <c r="I189" s="225"/>
      <c r="J189" s="225"/>
      <c r="K189" s="397"/>
      <c r="L189" s="397"/>
      <c r="M189" s="397"/>
      <c r="N189" s="225"/>
      <c r="O189" s="234"/>
      <c r="P189" s="234"/>
      <c r="AF189" s="234"/>
      <c r="AG189" s="234"/>
      <c r="AH189" s="234"/>
      <c r="AI189" s="234"/>
      <c r="AJ189" s="234"/>
      <c r="EO189" s="414"/>
      <c r="EP189" s="234"/>
      <c r="EQ189" s="415"/>
      <c r="ER189" s="276"/>
      <c r="ES189" s="415"/>
      <c r="ET189" s="415"/>
      <c r="EU189" s="277"/>
      <c r="EV189" s="277"/>
      <c r="EW189" s="414"/>
      <c r="EX189" s="234"/>
      <c r="GU189" s="415"/>
      <c r="GV189" s="276"/>
      <c r="GW189" s="415"/>
      <c r="GX189" s="415"/>
      <c r="GY189" s="277"/>
      <c r="GZ189" s="277"/>
      <c r="HA189" s="414"/>
      <c r="HB189" s="234"/>
      <c r="HC189" s="415"/>
      <c r="HD189" s="276"/>
      <c r="HE189" s="415"/>
      <c r="HF189" s="415"/>
      <c r="HG189" s="277"/>
      <c r="HH189" s="277"/>
    </row>
    <row r="190" spans="1:216" x14ac:dyDescent="0.2">
      <c r="A190" s="225"/>
      <c r="B190" s="225"/>
      <c r="C190" s="225"/>
      <c r="D190" s="225"/>
      <c r="E190" s="225"/>
      <c r="F190" s="225"/>
      <c r="G190" s="225"/>
      <c r="H190" s="225"/>
      <c r="I190" s="225"/>
      <c r="J190" s="225"/>
      <c r="K190" s="399"/>
      <c r="L190" s="399"/>
      <c r="M190" s="397"/>
      <c r="N190" s="225"/>
      <c r="O190" s="234"/>
      <c r="P190" s="234"/>
      <c r="AF190" s="234"/>
      <c r="AG190" s="234"/>
      <c r="AH190" s="234"/>
      <c r="AI190" s="234"/>
      <c r="AJ190" s="234"/>
      <c r="EO190" s="414"/>
      <c r="EP190" s="234"/>
      <c r="EQ190" s="415"/>
      <c r="ER190" s="276"/>
      <c r="ES190" s="415"/>
      <c r="ET190" s="415"/>
      <c r="EU190" s="277"/>
      <c r="EV190" s="277"/>
      <c r="EW190" s="414"/>
      <c r="EX190" s="234"/>
      <c r="GU190" s="415"/>
      <c r="GV190" s="276"/>
      <c r="GW190" s="415"/>
      <c r="GX190" s="415"/>
      <c r="GY190" s="277"/>
      <c r="GZ190" s="277"/>
      <c r="HA190" s="414"/>
      <c r="HB190" s="234"/>
      <c r="HC190" s="415"/>
      <c r="HD190" s="276"/>
      <c r="HE190" s="415"/>
      <c r="HF190" s="415"/>
      <c r="HG190" s="277"/>
      <c r="HH190" s="277"/>
    </row>
    <row r="191" spans="1:216" x14ac:dyDescent="0.2">
      <c r="A191" s="401"/>
      <c r="B191" s="401"/>
      <c r="C191" s="401"/>
      <c r="D191" s="225"/>
      <c r="E191" s="225"/>
      <c r="F191" s="225"/>
      <c r="G191" s="225"/>
      <c r="H191" s="225"/>
      <c r="I191" s="225"/>
      <c r="J191" s="401"/>
      <c r="K191" s="399"/>
      <c r="L191" s="399"/>
      <c r="M191" s="397"/>
      <c r="N191" s="225"/>
      <c r="O191" s="234"/>
      <c r="P191" s="234"/>
      <c r="AF191" s="234"/>
      <c r="AG191" s="234"/>
      <c r="AH191" s="234"/>
      <c r="AI191" s="234"/>
      <c r="AJ191" s="234"/>
      <c r="EO191" s="414"/>
      <c r="EP191" s="234"/>
      <c r="EQ191" s="415"/>
      <c r="ER191" s="276"/>
      <c r="ES191" s="415"/>
      <c r="ET191" s="415"/>
      <c r="EU191" s="277"/>
      <c r="EV191" s="277"/>
      <c r="EW191" s="414"/>
      <c r="EX191" s="234"/>
      <c r="GU191" s="415"/>
      <c r="GV191" s="276"/>
      <c r="GW191" s="415"/>
      <c r="GX191" s="415"/>
      <c r="GY191" s="277"/>
      <c r="GZ191" s="277"/>
      <c r="HA191" s="414"/>
      <c r="HB191" s="234"/>
      <c r="HC191" s="415"/>
      <c r="HD191" s="276"/>
      <c r="HE191" s="415"/>
      <c r="HF191" s="415"/>
      <c r="HG191" s="277"/>
      <c r="HH191" s="277"/>
    </row>
    <row r="192" spans="1:216" x14ac:dyDescent="0.2">
      <c r="A192" s="401"/>
      <c r="B192" s="401"/>
      <c r="C192" s="401"/>
      <c r="D192" s="225"/>
      <c r="E192" s="225"/>
      <c r="F192" s="225"/>
      <c r="G192" s="225"/>
      <c r="H192" s="225"/>
      <c r="I192" s="225"/>
      <c r="J192" s="401"/>
      <c r="K192" s="397"/>
      <c r="L192" s="397"/>
      <c r="M192" s="397"/>
      <c r="N192" s="225"/>
      <c r="O192" s="234"/>
      <c r="P192" s="234"/>
      <c r="AF192" s="234"/>
      <c r="AG192" s="234"/>
      <c r="AH192" s="234"/>
      <c r="AI192" s="234"/>
      <c r="AJ192" s="234"/>
      <c r="EO192" s="414"/>
      <c r="EP192" s="234"/>
      <c r="EQ192" s="415"/>
      <c r="ER192" s="276"/>
      <c r="ES192" s="415"/>
      <c r="ET192" s="415"/>
      <c r="EU192" s="277"/>
      <c r="EV192" s="277"/>
      <c r="EW192" s="414"/>
      <c r="EX192" s="234"/>
      <c r="GU192" s="415"/>
      <c r="GV192" s="276"/>
      <c r="GW192" s="415"/>
      <c r="GX192" s="415"/>
      <c r="GY192" s="277"/>
      <c r="GZ192" s="277"/>
      <c r="HA192" s="414"/>
      <c r="HB192" s="234"/>
      <c r="HC192" s="415"/>
      <c r="HD192" s="276"/>
      <c r="HE192" s="415"/>
      <c r="HF192" s="415"/>
      <c r="HG192" s="277"/>
      <c r="HH192" s="277"/>
    </row>
    <row r="193" spans="1:216" x14ac:dyDescent="0.2">
      <c r="A193" s="225"/>
      <c r="B193" s="225"/>
      <c r="C193" s="225"/>
      <c r="D193" s="225"/>
      <c r="E193" s="225"/>
      <c r="F193" s="225"/>
      <c r="G193" s="225"/>
      <c r="H193" s="225"/>
      <c r="I193" s="225"/>
      <c r="J193" s="225"/>
      <c r="K193" s="411"/>
      <c r="L193" s="411"/>
      <c r="M193" s="411"/>
      <c r="N193" s="225"/>
      <c r="O193" s="234"/>
      <c r="P193" s="234"/>
      <c r="AF193" s="234"/>
      <c r="AG193" s="234"/>
      <c r="AH193" s="234"/>
      <c r="AI193" s="234"/>
      <c r="AJ193" s="234"/>
      <c r="EO193" s="414"/>
      <c r="EP193" s="234"/>
      <c r="EQ193" s="415"/>
      <c r="ER193" s="276"/>
      <c r="ES193" s="415"/>
      <c r="ET193" s="415"/>
      <c r="EU193" s="277"/>
      <c r="EV193" s="277"/>
      <c r="EW193" s="414"/>
      <c r="EX193" s="234"/>
      <c r="GU193" s="415"/>
      <c r="GV193" s="276"/>
      <c r="GW193" s="415"/>
      <c r="GX193" s="415"/>
      <c r="GY193" s="277"/>
      <c r="GZ193" s="277"/>
      <c r="HA193" s="414"/>
      <c r="HB193" s="234"/>
      <c r="HC193" s="415"/>
      <c r="HD193" s="276"/>
      <c r="HE193" s="415"/>
      <c r="HF193" s="415"/>
      <c r="HG193" s="277"/>
      <c r="HH193" s="277"/>
    </row>
    <row r="194" spans="1:216" x14ac:dyDescent="0.2">
      <c r="A194" s="406"/>
      <c r="B194" s="406"/>
      <c r="C194" s="406"/>
      <c r="D194" s="406"/>
      <c r="E194" s="406"/>
      <c r="F194" s="406"/>
      <c r="G194" s="406"/>
      <c r="H194" s="406"/>
      <c r="I194" s="406"/>
      <c r="J194" s="406"/>
      <c r="K194" s="411"/>
      <c r="L194" s="411"/>
      <c r="M194" s="411"/>
      <c r="N194" s="406"/>
      <c r="O194" s="234"/>
      <c r="P194" s="234"/>
      <c r="AF194" s="234"/>
      <c r="AG194" s="234"/>
      <c r="AH194" s="234"/>
      <c r="AI194" s="234"/>
      <c r="AJ194" s="234"/>
      <c r="EO194" s="414"/>
      <c r="EP194" s="234"/>
      <c r="EQ194" s="415"/>
      <c r="ER194" s="276"/>
      <c r="ES194" s="415"/>
      <c r="ET194" s="415"/>
      <c r="EU194" s="277"/>
      <c r="EV194" s="277"/>
      <c r="EW194" s="414"/>
      <c r="EX194" s="234"/>
      <c r="GU194" s="415"/>
      <c r="GV194" s="276"/>
      <c r="GW194" s="415"/>
      <c r="GX194" s="415"/>
      <c r="GY194" s="277"/>
      <c r="GZ194" s="277"/>
      <c r="HA194" s="414"/>
      <c r="HB194" s="234"/>
      <c r="HC194" s="415"/>
      <c r="HD194" s="276"/>
      <c r="HE194" s="415"/>
      <c r="HF194" s="415"/>
      <c r="HG194" s="277"/>
      <c r="HH194" s="277"/>
    </row>
    <row r="195" spans="1:216" x14ac:dyDescent="0.2">
      <c r="A195" s="406"/>
      <c r="B195" s="406"/>
      <c r="C195" s="406"/>
      <c r="D195" s="406"/>
      <c r="E195" s="406"/>
      <c r="F195" s="406"/>
      <c r="G195" s="406"/>
      <c r="H195" s="406"/>
      <c r="I195" s="406"/>
      <c r="J195" s="406"/>
      <c r="K195" s="310"/>
      <c r="L195" s="310"/>
      <c r="M195" s="310"/>
      <c r="N195" s="406"/>
      <c r="O195" s="234"/>
      <c r="P195" s="234"/>
      <c r="AF195" s="234"/>
      <c r="AG195" s="234"/>
      <c r="AH195" s="234"/>
      <c r="AI195" s="234"/>
      <c r="AJ195" s="234"/>
      <c r="EO195" s="414"/>
      <c r="EP195" s="234"/>
      <c r="EQ195" s="415"/>
      <c r="ER195" s="276"/>
      <c r="ES195" s="415"/>
      <c r="ET195" s="415"/>
      <c r="EU195" s="277"/>
      <c r="EV195" s="277"/>
      <c r="EW195" s="414"/>
      <c r="EX195" s="234"/>
      <c r="GU195" s="415"/>
      <c r="GV195" s="276"/>
      <c r="GW195" s="415"/>
      <c r="GX195" s="415"/>
      <c r="GY195" s="277"/>
      <c r="GZ195" s="277"/>
      <c r="HA195" s="414"/>
      <c r="HB195" s="234"/>
      <c r="HC195" s="415"/>
      <c r="HD195" s="276"/>
      <c r="HE195" s="415"/>
      <c r="HF195" s="415"/>
      <c r="HG195" s="277"/>
      <c r="HH195" s="277"/>
    </row>
    <row r="196" spans="1:216" x14ac:dyDescent="0.2">
      <c r="A196" s="396"/>
      <c r="B196" s="396"/>
      <c r="C196" s="396"/>
      <c r="D196" s="310"/>
      <c r="E196" s="310"/>
      <c r="F196" s="310"/>
      <c r="G196" s="310"/>
      <c r="H196" s="310"/>
      <c r="I196" s="310"/>
      <c r="J196" s="396"/>
      <c r="K196" s="310"/>
      <c r="L196" s="310"/>
      <c r="M196" s="310"/>
      <c r="N196" s="310"/>
      <c r="O196" s="234"/>
      <c r="P196" s="234"/>
      <c r="AF196" s="234"/>
      <c r="AG196" s="234"/>
      <c r="AH196" s="234"/>
      <c r="AI196" s="234"/>
      <c r="AJ196" s="234"/>
      <c r="EO196" s="414"/>
      <c r="EP196" s="234"/>
      <c r="EQ196" s="415"/>
      <c r="ER196" s="276"/>
      <c r="ES196" s="415"/>
      <c r="ET196" s="415"/>
      <c r="EU196" s="277"/>
      <c r="EV196" s="277"/>
      <c r="EW196" s="414"/>
      <c r="EX196" s="234"/>
      <c r="GU196" s="415"/>
      <c r="GV196" s="276"/>
      <c r="GW196" s="415"/>
      <c r="GX196" s="415"/>
      <c r="GY196" s="277"/>
      <c r="GZ196" s="277"/>
      <c r="HA196" s="414"/>
      <c r="HB196" s="234"/>
      <c r="HC196" s="415"/>
      <c r="HD196" s="276"/>
      <c r="HE196" s="415"/>
      <c r="HF196" s="415"/>
      <c r="HG196" s="277"/>
      <c r="HH196" s="277"/>
    </row>
    <row r="197" spans="1:216" x14ac:dyDescent="0.2">
      <c r="A197" s="396"/>
      <c r="B197" s="396"/>
      <c r="C197" s="396"/>
      <c r="D197" s="310"/>
      <c r="E197" s="310"/>
      <c r="F197" s="310"/>
      <c r="G197" s="310"/>
      <c r="H197" s="310"/>
      <c r="I197" s="310"/>
      <c r="J197" s="396"/>
      <c r="K197" s="310"/>
      <c r="L197" s="310"/>
      <c r="M197" s="310"/>
      <c r="N197" s="310"/>
      <c r="O197" s="234"/>
      <c r="P197" s="234"/>
      <c r="AF197" s="234"/>
      <c r="AG197" s="234"/>
      <c r="AH197" s="234"/>
      <c r="AI197" s="234"/>
      <c r="AJ197" s="234"/>
      <c r="EO197" s="414"/>
      <c r="EP197" s="234"/>
      <c r="EQ197" s="415"/>
      <c r="ER197" s="276"/>
      <c r="ES197" s="415"/>
      <c r="ET197" s="415"/>
      <c r="EU197" s="277"/>
      <c r="EV197" s="277"/>
      <c r="EW197" s="414"/>
      <c r="EX197" s="234"/>
      <c r="GU197" s="415"/>
      <c r="GV197" s="276"/>
      <c r="GW197" s="415"/>
      <c r="GX197" s="415"/>
      <c r="GY197" s="277"/>
      <c r="GZ197" s="277"/>
      <c r="HA197" s="414"/>
      <c r="HB197" s="234"/>
      <c r="HC197" s="415"/>
      <c r="HD197" s="276"/>
      <c r="HE197" s="415"/>
      <c r="HF197" s="415"/>
      <c r="HG197" s="277"/>
      <c r="HH197" s="277"/>
    </row>
    <row r="198" spans="1:216" x14ac:dyDescent="0.2">
      <c r="A198" s="396"/>
      <c r="B198" s="396"/>
      <c r="C198" s="396"/>
      <c r="D198" s="310"/>
      <c r="E198" s="310"/>
      <c r="F198" s="310"/>
      <c r="G198" s="310"/>
      <c r="H198" s="310"/>
      <c r="I198" s="310"/>
      <c r="J198" s="396"/>
      <c r="K198" s="310"/>
      <c r="L198" s="310"/>
      <c r="M198" s="310"/>
      <c r="N198" s="310"/>
      <c r="O198" s="234"/>
      <c r="P198" s="234"/>
      <c r="AF198" s="234"/>
      <c r="AG198" s="234"/>
      <c r="AH198" s="234"/>
      <c r="AI198" s="234"/>
      <c r="AJ198" s="234"/>
      <c r="EO198" s="414"/>
      <c r="EP198" s="234"/>
      <c r="EQ198" s="415"/>
      <c r="ER198" s="276"/>
      <c r="ES198" s="415"/>
      <c r="ET198" s="415"/>
      <c r="EU198" s="277"/>
      <c r="EV198" s="277"/>
      <c r="EW198" s="414"/>
      <c r="EX198" s="234"/>
      <c r="GU198" s="415"/>
      <c r="GV198" s="276"/>
      <c r="GW198" s="415"/>
      <c r="GX198" s="415"/>
      <c r="GY198" s="277"/>
      <c r="GZ198" s="277"/>
      <c r="HA198" s="414"/>
      <c r="HB198" s="234"/>
      <c r="HC198" s="415"/>
      <c r="HD198" s="276"/>
      <c r="HE198" s="415"/>
      <c r="HF198" s="415"/>
      <c r="HG198" s="277"/>
      <c r="HH198" s="277"/>
    </row>
    <row r="199" spans="1:216" x14ac:dyDescent="0.2">
      <c r="A199" s="396"/>
      <c r="B199" s="396"/>
      <c r="C199" s="396"/>
      <c r="D199" s="310"/>
      <c r="E199" s="310"/>
      <c r="F199" s="310"/>
      <c r="G199" s="310"/>
      <c r="H199" s="310"/>
      <c r="I199" s="310"/>
      <c r="J199" s="396"/>
      <c r="K199" s="310"/>
      <c r="L199" s="310"/>
      <c r="M199" s="310"/>
      <c r="N199" s="310"/>
      <c r="O199" s="234"/>
      <c r="P199" s="234"/>
      <c r="AF199" s="234"/>
      <c r="AG199" s="234"/>
      <c r="AH199" s="234"/>
      <c r="AI199" s="234"/>
      <c r="AJ199" s="234"/>
      <c r="EO199" s="414"/>
      <c r="EP199" s="234"/>
      <c r="EQ199" s="415"/>
      <c r="ER199" s="276"/>
      <c r="ES199" s="415"/>
      <c r="ET199" s="415"/>
      <c r="EU199" s="277"/>
      <c r="EV199" s="277"/>
      <c r="EW199" s="414"/>
      <c r="EX199" s="234"/>
      <c r="GU199" s="415"/>
      <c r="GV199" s="276"/>
      <c r="GW199" s="415"/>
      <c r="GX199" s="415"/>
      <c r="GY199" s="277"/>
      <c r="GZ199" s="277"/>
      <c r="HA199" s="414"/>
      <c r="HB199" s="234"/>
      <c r="HC199" s="415"/>
      <c r="HD199" s="276"/>
      <c r="HE199" s="415"/>
      <c r="HF199" s="415"/>
      <c r="HG199" s="277"/>
      <c r="HH199" s="277"/>
    </row>
    <row r="200" spans="1:216" x14ac:dyDescent="0.2">
      <c r="A200" s="396"/>
      <c r="B200" s="396"/>
      <c r="C200" s="396"/>
      <c r="D200" s="310"/>
      <c r="E200" s="310"/>
      <c r="F200" s="310"/>
      <c r="G200" s="310"/>
      <c r="H200" s="310"/>
      <c r="I200" s="310"/>
      <c r="J200" s="396"/>
      <c r="K200" s="310"/>
      <c r="L200" s="310"/>
      <c r="M200" s="310"/>
      <c r="N200" s="310"/>
      <c r="O200" s="234"/>
      <c r="P200" s="234"/>
      <c r="AF200" s="234"/>
      <c r="AG200" s="234"/>
      <c r="AH200" s="234"/>
      <c r="AI200" s="234"/>
      <c r="AJ200" s="234"/>
      <c r="EO200" s="414"/>
      <c r="EP200" s="234"/>
      <c r="EQ200" s="415"/>
      <c r="ER200" s="276"/>
      <c r="ES200" s="415"/>
      <c r="ET200" s="415"/>
      <c r="EU200" s="277"/>
      <c r="EV200" s="277"/>
      <c r="EW200" s="414"/>
      <c r="EX200" s="234"/>
      <c r="GU200" s="415"/>
      <c r="GV200" s="276"/>
      <c r="GW200" s="415"/>
      <c r="GX200" s="415"/>
      <c r="GY200" s="277"/>
      <c r="GZ200" s="277"/>
      <c r="HA200" s="414"/>
      <c r="HB200" s="234"/>
      <c r="HC200" s="415"/>
      <c r="HD200" s="276"/>
      <c r="HE200" s="415"/>
      <c r="HF200" s="415"/>
      <c r="HG200" s="277"/>
      <c r="HH200" s="277"/>
    </row>
    <row r="201" spans="1:216" x14ac:dyDescent="0.2">
      <c r="A201" s="396"/>
      <c r="B201" s="396"/>
      <c r="C201" s="396"/>
      <c r="D201" s="310"/>
      <c r="E201" s="310"/>
      <c r="F201" s="310"/>
      <c r="G201" s="310"/>
      <c r="H201" s="310"/>
      <c r="I201" s="310"/>
      <c r="J201" s="396"/>
      <c r="K201" s="310"/>
      <c r="L201" s="310"/>
      <c r="M201" s="310"/>
      <c r="N201" s="310"/>
      <c r="O201" s="234"/>
      <c r="P201" s="234"/>
      <c r="AF201" s="234"/>
      <c r="AG201" s="234"/>
      <c r="AH201" s="234"/>
      <c r="AI201" s="234"/>
      <c r="AJ201" s="234"/>
      <c r="EO201" s="414"/>
      <c r="EP201" s="234"/>
      <c r="EQ201" s="415"/>
      <c r="ER201" s="276"/>
      <c r="ES201" s="415"/>
      <c r="ET201" s="415"/>
      <c r="EU201" s="277"/>
      <c r="EV201" s="277"/>
      <c r="EW201" s="414"/>
      <c r="EX201" s="234"/>
      <c r="GU201" s="415"/>
      <c r="GV201" s="276"/>
      <c r="GW201" s="415"/>
      <c r="GX201" s="415"/>
      <c r="GY201" s="277"/>
      <c r="GZ201" s="277"/>
      <c r="HA201" s="414"/>
      <c r="HB201" s="234"/>
      <c r="HC201" s="415"/>
      <c r="HD201" s="276"/>
      <c r="HE201" s="415"/>
      <c r="HF201" s="415"/>
      <c r="HG201" s="277"/>
      <c r="HH201" s="277"/>
    </row>
    <row r="202" spans="1:216" x14ac:dyDescent="0.2">
      <c r="A202" s="396"/>
      <c r="B202" s="396"/>
      <c r="C202" s="396"/>
      <c r="D202" s="310"/>
      <c r="E202" s="310"/>
      <c r="F202" s="310"/>
      <c r="G202" s="310"/>
      <c r="H202" s="310"/>
      <c r="I202" s="310"/>
      <c r="J202" s="396"/>
      <c r="K202" s="310"/>
      <c r="L202" s="310"/>
      <c r="M202" s="310"/>
      <c r="N202" s="310"/>
      <c r="O202" s="234"/>
      <c r="P202" s="234"/>
      <c r="AF202" s="234"/>
      <c r="AG202" s="234"/>
      <c r="AH202" s="234"/>
      <c r="AI202" s="234"/>
      <c r="AJ202" s="234"/>
      <c r="EO202" s="414"/>
      <c r="EP202" s="234"/>
      <c r="EQ202" s="415"/>
      <c r="ER202" s="276"/>
      <c r="ES202" s="415"/>
      <c r="ET202" s="415"/>
      <c r="EU202" s="277"/>
      <c r="EV202" s="277"/>
      <c r="EW202" s="414"/>
      <c r="EX202" s="234"/>
      <c r="GU202" s="415"/>
      <c r="GV202" s="276"/>
      <c r="GW202" s="415"/>
      <c r="GX202" s="415"/>
      <c r="GY202" s="277"/>
      <c r="GZ202" s="277"/>
      <c r="HA202" s="414"/>
      <c r="HB202" s="234"/>
      <c r="HC202" s="415"/>
      <c r="HD202" s="276"/>
      <c r="HE202" s="415"/>
      <c r="HF202" s="415"/>
      <c r="HG202" s="277"/>
      <c r="HH202" s="277"/>
    </row>
    <row r="203" spans="1:216" x14ac:dyDescent="0.2">
      <c r="A203" s="396"/>
      <c r="B203" s="396"/>
      <c r="C203" s="396"/>
      <c r="D203" s="310"/>
      <c r="E203" s="310"/>
      <c r="F203" s="310"/>
      <c r="G203" s="310"/>
      <c r="H203" s="310"/>
      <c r="I203" s="310"/>
      <c r="J203" s="396"/>
      <c r="K203" s="310"/>
      <c r="L203" s="310"/>
      <c r="M203" s="310"/>
      <c r="N203" s="310"/>
      <c r="O203" s="234"/>
      <c r="P203" s="234"/>
      <c r="AF203" s="234"/>
      <c r="AG203" s="234"/>
      <c r="AH203" s="234"/>
      <c r="AI203" s="234"/>
      <c r="AJ203" s="234"/>
      <c r="EO203" s="414"/>
      <c r="EP203" s="234"/>
      <c r="EQ203" s="415"/>
      <c r="ER203" s="276"/>
      <c r="ES203" s="415"/>
      <c r="ET203" s="415"/>
      <c r="EU203" s="277"/>
      <c r="EV203" s="277"/>
      <c r="EW203" s="414"/>
      <c r="EX203" s="234"/>
      <c r="GU203" s="415"/>
      <c r="GV203" s="276"/>
      <c r="GW203" s="415"/>
      <c r="GX203" s="415"/>
      <c r="GY203" s="277"/>
      <c r="GZ203" s="277"/>
      <c r="HA203" s="414"/>
      <c r="HB203" s="234"/>
      <c r="HC203" s="415"/>
      <c r="HD203" s="276"/>
      <c r="HE203" s="415"/>
      <c r="HF203" s="415"/>
      <c r="HG203" s="277"/>
      <c r="HH203" s="277"/>
    </row>
    <row r="204" spans="1:216" x14ac:dyDescent="0.2">
      <c r="A204" s="396"/>
      <c r="B204" s="396"/>
      <c r="C204" s="396"/>
      <c r="D204" s="310"/>
      <c r="E204" s="310"/>
      <c r="F204" s="310"/>
      <c r="G204" s="310"/>
      <c r="H204" s="310"/>
      <c r="I204" s="310"/>
      <c r="J204" s="396"/>
      <c r="K204" s="310"/>
      <c r="L204" s="310"/>
      <c r="M204" s="310"/>
      <c r="N204" s="310"/>
      <c r="O204" s="234"/>
      <c r="P204" s="234"/>
      <c r="AF204" s="234"/>
      <c r="AG204" s="234"/>
      <c r="AH204" s="234"/>
      <c r="AI204" s="234"/>
      <c r="AJ204" s="234"/>
      <c r="EO204" s="414"/>
      <c r="EP204" s="234"/>
      <c r="EQ204" s="415"/>
      <c r="ER204" s="276"/>
      <c r="ES204" s="415"/>
      <c r="ET204" s="415"/>
      <c r="EU204" s="277"/>
      <c r="EV204" s="277"/>
      <c r="EW204" s="414"/>
      <c r="EX204" s="234"/>
      <c r="GU204" s="415"/>
      <c r="GV204" s="276"/>
      <c r="GW204" s="415"/>
      <c r="GX204" s="415"/>
      <c r="GY204" s="277"/>
      <c r="GZ204" s="277"/>
      <c r="HA204" s="414"/>
      <c r="HB204" s="234"/>
      <c r="HC204" s="415"/>
      <c r="HD204" s="276"/>
      <c r="HE204" s="415"/>
      <c r="HF204" s="415"/>
      <c r="HG204" s="277"/>
      <c r="HH204" s="277"/>
    </row>
    <row r="205" spans="1:216" x14ac:dyDescent="0.2">
      <c r="A205" s="396"/>
      <c r="B205" s="396"/>
      <c r="C205" s="396"/>
      <c r="D205" s="310"/>
      <c r="E205" s="310"/>
      <c r="F205" s="310"/>
      <c r="G205" s="310"/>
      <c r="H205" s="310"/>
      <c r="I205" s="310"/>
      <c r="J205" s="396"/>
      <c r="K205" s="310"/>
      <c r="L205" s="310"/>
      <c r="M205" s="310"/>
      <c r="N205" s="310"/>
      <c r="O205" s="234"/>
      <c r="P205" s="234"/>
      <c r="AF205" s="234"/>
      <c r="AG205" s="234"/>
      <c r="AH205" s="234"/>
      <c r="AI205" s="234"/>
      <c r="AJ205" s="234"/>
      <c r="EO205" s="414"/>
      <c r="EP205" s="234"/>
      <c r="EQ205" s="415"/>
      <c r="ER205" s="276"/>
      <c r="ES205" s="415"/>
      <c r="ET205" s="415"/>
      <c r="EU205" s="277"/>
      <c r="EV205" s="277"/>
      <c r="EW205" s="414"/>
      <c r="EX205" s="234"/>
      <c r="GU205" s="415"/>
      <c r="GV205" s="276"/>
      <c r="GW205" s="415"/>
      <c r="GX205" s="415"/>
      <c r="GY205" s="277"/>
      <c r="GZ205" s="277"/>
      <c r="HA205" s="414"/>
      <c r="HB205" s="234"/>
      <c r="HC205" s="415"/>
      <c r="HD205" s="276"/>
      <c r="HE205" s="415"/>
      <c r="HF205" s="415"/>
      <c r="HG205" s="277"/>
      <c r="HH205" s="277"/>
    </row>
    <row r="206" spans="1:216" x14ac:dyDescent="0.2">
      <c r="A206" s="396"/>
      <c r="B206" s="396"/>
      <c r="C206" s="396"/>
      <c r="D206" s="310"/>
      <c r="E206" s="310"/>
      <c r="F206" s="310"/>
      <c r="G206" s="310"/>
      <c r="H206" s="310"/>
      <c r="I206" s="310"/>
      <c r="J206" s="396"/>
      <c r="K206" s="310"/>
      <c r="L206" s="310"/>
      <c r="M206" s="310"/>
      <c r="N206" s="310"/>
      <c r="O206" s="234"/>
      <c r="P206" s="234"/>
      <c r="AF206" s="234"/>
      <c r="AG206" s="234"/>
      <c r="AH206" s="234"/>
      <c r="AI206" s="234"/>
      <c r="AJ206" s="234"/>
      <c r="EO206" s="414"/>
      <c r="EP206" s="234"/>
      <c r="EQ206" s="415"/>
      <c r="ER206" s="276"/>
      <c r="ES206" s="415"/>
      <c r="ET206" s="415"/>
      <c r="EU206" s="277"/>
      <c r="EV206" s="277"/>
      <c r="EW206" s="414"/>
      <c r="EX206" s="234"/>
      <c r="GU206" s="415"/>
      <c r="GV206" s="276"/>
      <c r="GW206" s="415"/>
      <c r="GX206" s="415"/>
      <c r="GY206" s="277"/>
      <c r="GZ206" s="277"/>
      <c r="HA206" s="414"/>
      <c r="HB206" s="234"/>
      <c r="HC206" s="415"/>
      <c r="HD206" s="276"/>
      <c r="HE206" s="415"/>
      <c r="HF206" s="415"/>
      <c r="HG206" s="277"/>
      <c r="HH206" s="277"/>
    </row>
    <row r="207" spans="1:216" x14ac:dyDescent="0.2">
      <c r="A207" s="396"/>
      <c r="B207" s="396"/>
      <c r="C207" s="396"/>
      <c r="D207" s="310"/>
      <c r="E207" s="310"/>
      <c r="F207" s="310"/>
      <c r="G207" s="310"/>
      <c r="H207" s="310"/>
      <c r="I207" s="310"/>
      <c r="J207" s="396"/>
      <c r="K207" s="310"/>
      <c r="L207" s="310"/>
      <c r="M207" s="310"/>
      <c r="N207" s="310"/>
      <c r="O207" s="234"/>
      <c r="P207" s="234"/>
      <c r="AF207" s="234"/>
      <c r="AG207" s="234"/>
      <c r="AH207" s="234"/>
      <c r="AI207" s="234"/>
      <c r="AJ207" s="234"/>
      <c r="EO207" s="234"/>
      <c r="EP207" s="234"/>
      <c r="EQ207" s="234"/>
      <c r="ER207" s="234"/>
      <c r="ES207" s="234"/>
      <c r="ET207" s="234"/>
      <c r="EU207" s="234"/>
      <c r="EV207" s="234"/>
      <c r="EW207" s="234"/>
      <c r="EX207" s="234"/>
      <c r="GU207" s="415"/>
      <c r="GV207" s="276"/>
      <c r="GW207" s="415"/>
      <c r="GX207" s="415"/>
      <c r="GY207" s="277"/>
      <c r="GZ207" s="277"/>
      <c r="HA207" s="414"/>
      <c r="HB207" s="234"/>
      <c r="HC207" s="415"/>
      <c r="HD207" s="276"/>
      <c r="HE207" s="415"/>
      <c r="HF207" s="415"/>
      <c r="HG207" s="277"/>
      <c r="HH207" s="277"/>
    </row>
    <row r="208" spans="1:216" x14ac:dyDescent="0.2">
      <c r="A208" s="396"/>
      <c r="B208" s="396"/>
      <c r="C208" s="396"/>
      <c r="D208" s="310"/>
      <c r="E208" s="310"/>
      <c r="F208" s="310"/>
      <c r="G208" s="310"/>
      <c r="H208" s="310"/>
      <c r="I208" s="310"/>
      <c r="J208" s="396"/>
      <c r="K208" s="310"/>
      <c r="L208" s="310"/>
      <c r="M208" s="310"/>
      <c r="N208" s="310"/>
      <c r="O208" s="234"/>
      <c r="P208" s="234"/>
      <c r="AF208" s="234"/>
      <c r="AG208" s="234"/>
      <c r="AH208" s="234"/>
      <c r="AI208" s="234"/>
      <c r="AJ208" s="234"/>
      <c r="EO208" s="234"/>
      <c r="EP208" s="234"/>
      <c r="EQ208" s="413"/>
      <c r="ER208" s="413"/>
      <c r="ES208" s="413"/>
      <c r="ET208" s="413"/>
      <c r="EU208" s="234"/>
      <c r="EV208" s="234"/>
      <c r="EW208" s="234"/>
      <c r="EX208" s="234"/>
      <c r="GU208" s="234"/>
      <c r="GV208" s="234"/>
      <c r="GW208" s="234"/>
      <c r="GX208" s="234"/>
      <c r="GY208" s="234"/>
      <c r="GZ208" s="234"/>
      <c r="HA208" s="234"/>
      <c r="HB208" s="234"/>
      <c r="HC208" s="234"/>
      <c r="HD208" s="234"/>
      <c r="HE208" s="234"/>
      <c r="HF208" s="234"/>
      <c r="HG208" s="234"/>
      <c r="HH208" s="234"/>
    </row>
    <row r="209" spans="1:216" x14ac:dyDescent="0.2">
      <c r="A209" s="396"/>
      <c r="B209" s="396"/>
      <c r="C209" s="396"/>
      <c r="D209" s="310"/>
      <c r="E209" s="310"/>
      <c r="F209" s="310"/>
      <c r="G209" s="310"/>
      <c r="H209" s="310"/>
      <c r="I209" s="310"/>
      <c r="J209" s="396"/>
      <c r="K209" s="310"/>
      <c r="L209" s="310"/>
      <c r="M209" s="310"/>
      <c r="N209" s="310"/>
      <c r="O209" s="234"/>
      <c r="P209" s="234"/>
      <c r="AF209" s="234"/>
      <c r="AG209" s="234"/>
      <c r="AH209" s="234"/>
      <c r="AI209" s="234"/>
      <c r="AJ209" s="234"/>
      <c r="EO209" s="234"/>
      <c r="EP209" s="234"/>
      <c r="EQ209" s="413"/>
      <c r="ER209" s="413"/>
      <c r="ES209" s="413"/>
      <c r="ET209" s="413"/>
      <c r="EU209" s="234"/>
      <c r="EV209" s="234"/>
      <c r="EW209" s="234"/>
      <c r="EX209" s="234"/>
      <c r="GU209" s="413"/>
      <c r="GV209" s="413"/>
      <c r="GW209" s="413"/>
      <c r="GX209" s="413"/>
      <c r="GY209" s="234"/>
      <c r="GZ209" s="234"/>
      <c r="HA209" s="234"/>
      <c r="HB209" s="234"/>
      <c r="HC209" s="413"/>
      <c r="HD209" s="413"/>
      <c r="HE209" s="413"/>
      <c r="HF209" s="413"/>
      <c r="HG209" s="234"/>
      <c r="HH209" s="234"/>
    </row>
    <row r="210" spans="1:216" x14ac:dyDescent="0.2">
      <c r="A210" s="396"/>
      <c r="B210" s="396"/>
      <c r="C210" s="396"/>
      <c r="D210" s="310"/>
      <c r="E210" s="310"/>
      <c r="F210" s="310"/>
      <c r="G210" s="310"/>
      <c r="H210" s="310"/>
      <c r="I210" s="310"/>
      <c r="J210" s="396"/>
      <c r="K210" s="310"/>
      <c r="L210" s="310"/>
      <c r="M210" s="310"/>
      <c r="N210" s="310"/>
      <c r="O210" s="234"/>
      <c r="P210" s="234"/>
      <c r="AF210" s="234"/>
      <c r="AG210" s="234"/>
      <c r="AH210" s="234"/>
      <c r="AI210" s="234"/>
      <c r="AJ210" s="234"/>
      <c r="EO210" s="234"/>
      <c r="EP210" s="234"/>
      <c r="EQ210" s="234"/>
      <c r="ER210" s="234"/>
      <c r="ES210" s="234"/>
      <c r="ET210" s="234"/>
      <c r="EU210" s="234"/>
      <c r="EV210" s="234"/>
      <c r="EW210" s="234"/>
      <c r="EX210" s="234"/>
      <c r="GU210" s="413"/>
      <c r="GV210" s="413"/>
      <c r="GW210" s="413"/>
      <c r="GX210" s="413"/>
      <c r="GY210" s="234"/>
      <c r="GZ210" s="234"/>
      <c r="HA210" s="234"/>
      <c r="HB210" s="234"/>
      <c r="HC210" s="413"/>
      <c r="HD210" s="413"/>
      <c r="HE210" s="413"/>
      <c r="HF210" s="413"/>
      <c r="HG210" s="234"/>
      <c r="HH210" s="234"/>
    </row>
    <row r="211" spans="1:216" x14ac:dyDescent="0.2">
      <c r="A211" s="396"/>
      <c r="B211" s="396"/>
      <c r="C211" s="396"/>
      <c r="D211" s="310"/>
      <c r="E211" s="310"/>
      <c r="F211" s="310"/>
      <c r="G211" s="310"/>
      <c r="H211" s="310"/>
      <c r="I211" s="310"/>
      <c r="J211" s="396"/>
      <c r="K211" s="310"/>
      <c r="L211" s="310"/>
      <c r="M211" s="310"/>
      <c r="N211" s="310"/>
      <c r="O211" s="234"/>
      <c r="P211" s="234"/>
      <c r="AF211" s="234"/>
      <c r="AG211" s="234"/>
      <c r="AH211" s="234"/>
      <c r="AI211" s="234"/>
      <c r="AJ211" s="234"/>
      <c r="EO211" s="241"/>
      <c r="EP211" s="234"/>
      <c r="EQ211" s="241"/>
      <c r="ER211" s="241"/>
      <c r="ES211" s="241"/>
      <c r="ET211" s="241"/>
      <c r="EU211" s="241"/>
      <c r="EV211" s="241"/>
      <c r="EW211" s="241"/>
      <c r="EX211" s="234"/>
      <c r="GU211" s="234"/>
      <c r="GV211" s="234"/>
      <c r="GW211" s="234"/>
      <c r="GX211" s="234"/>
      <c r="GY211" s="234"/>
      <c r="GZ211" s="234"/>
      <c r="HA211" s="234"/>
      <c r="HB211" s="234"/>
      <c r="HC211" s="234"/>
      <c r="HD211" s="234"/>
      <c r="HE211" s="234"/>
      <c r="HF211" s="234"/>
      <c r="HG211" s="234"/>
      <c r="HH211" s="234"/>
    </row>
    <row r="212" spans="1:216" x14ac:dyDescent="0.2">
      <c r="A212" s="396"/>
      <c r="B212" s="396"/>
      <c r="C212" s="396"/>
      <c r="D212" s="310"/>
      <c r="E212" s="310"/>
      <c r="F212" s="310"/>
      <c r="G212" s="310"/>
      <c r="H212" s="310"/>
      <c r="I212" s="310"/>
      <c r="J212" s="396"/>
      <c r="K212" s="310"/>
      <c r="L212" s="310"/>
      <c r="M212" s="310"/>
      <c r="N212" s="310"/>
      <c r="O212" s="234"/>
      <c r="P212" s="234"/>
      <c r="AF212" s="234"/>
      <c r="AG212" s="234"/>
      <c r="AH212" s="234"/>
      <c r="AI212" s="234"/>
      <c r="AJ212" s="234"/>
      <c r="EO212" s="241"/>
      <c r="EP212" s="234"/>
      <c r="EQ212" s="241"/>
      <c r="ER212" s="241"/>
      <c r="ES212" s="241"/>
      <c r="ET212" s="241"/>
      <c r="EU212" s="241"/>
      <c r="EV212" s="241"/>
      <c r="EW212" s="241"/>
      <c r="EX212" s="234"/>
      <c r="GU212" s="241"/>
      <c r="GV212" s="241"/>
      <c r="GW212" s="241"/>
      <c r="GX212" s="241"/>
      <c r="GY212" s="241"/>
      <c r="GZ212" s="241"/>
      <c r="HA212" s="241"/>
      <c r="HB212" s="234"/>
      <c r="HC212" s="241"/>
      <c r="HD212" s="241"/>
      <c r="HE212" s="241"/>
      <c r="HF212" s="241"/>
      <c r="HG212" s="241"/>
      <c r="HH212" s="241"/>
    </row>
    <row r="213" spans="1:216" x14ac:dyDescent="0.2">
      <c r="A213" s="396"/>
      <c r="B213" s="396"/>
      <c r="C213" s="396"/>
      <c r="D213" s="310"/>
      <c r="E213" s="310"/>
      <c r="F213" s="310"/>
      <c r="G213" s="310"/>
      <c r="H213" s="310"/>
      <c r="I213" s="310"/>
      <c r="J213" s="396"/>
      <c r="K213" s="397"/>
      <c r="L213" s="397"/>
      <c r="M213" s="397"/>
      <c r="N213" s="310"/>
      <c r="O213" s="234"/>
      <c r="P213" s="234"/>
      <c r="AF213" s="234"/>
      <c r="AG213" s="234"/>
      <c r="AH213" s="234"/>
      <c r="AI213" s="234"/>
      <c r="AJ213" s="234"/>
      <c r="EO213" s="414"/>
      <c r="EP213" s="234"/>
      <c r="EQ213" s="415"/>
      <c r="ER213" s="276"/>
      <c r="ES213" s="415"/>
      <c r="ET213" s="415"/>
      <c r="EU213" s="277"/>
      <c r="EV213" s="277"/>
      <c r="EW213" s="414"/>
      <c r="EX213" s="234"/>
      <c r="GU213" s="241"/>
      <c r="GV213" s="241"/>
      <c r="GW213" s="241"/>
      <c r="GX213" s="241"/>
      <c r="GY213" s="241"/>
      <c r="GZ213" s="241"/>
      <c r="HA213" s="241"/>
      <c r="HB213" s="234"/>
      <c r="HC213" s="241"/>
      <c r="HD213" s="241"/>
      <c r="HE213" s="241"/>
      <c r="HF213" s="241"/>
      <c r="HG213" s="241"/>
      <c r="HH213" s="241"/>
    </row>
    <row r="214" spans="1:216" x14ac:dyDescent="0.2">
      <c r="A214" s="396"/>
      <c r="B214" s="396"/>
      <c r="C214" s="396"/>
      <c r="D214" s="310"/>
      <c r="E214" s="310"/>
      <c r="F214" s="310"/>
      <c r="G214" s="310"/>
      <c r="H214" s="310"/>
      <c r="I214" s="310"/>
      <c r="J214" s="225"/>
      <c r="K214" s="397"/>
      <c r="L214" s="397"/>
      <c r="M214" s="397"/>
      <c r="N214" s="225"/>
      <c r="O214" s="234"/>
      <c r="P214" s="234"/>
      <c r="AF214" s="234"/>
      <c r="AG214" s="234"/>
      <c r="AH214" s="234"/>
      <c r="AI214" s="234"/>
      <c r="AJ214" s="234"/>
      <c r="EO214" s="414"/>
      <c r="EP214" s="234"/>
      <c r="EQ214" s="415"/>
      <c r="ER214" s="276"/>
      <c r="ES214" s="415"/>
      <c r="ET214" s="415"/>
      <c r="EU214" s="277"/>
      <c r="EV214" s="277"/>
      <c r="EW214" s="414"/>
      <c r="EX214" s="234"/>
      <c r="GU214" s="415"/>
      <c r="GV214" s="276"/>
      <c r="GW214" s="415"/>
      <c r="GX214" s="415"/>
      <c r="GY214" s="277"/>
      <c r="GZ214" s="277"/>
      <c r="HA214" s="414"/>
      <c r="HB214" s="234"/>
      <c r="HC214" s="415"/>
      <c r="HD214" s="276"/>
      <c r="HE214" s="415"/>
      <c r="HF214" s="415"/>
      <c r="HG214" s="277"/>
      <c r="HH214" s="277"/>
    </row>
    <row r="215" spans="1:216" x14ac:dyDescent="0.2">
      <c r="A215" s="396"/>
      <c r="B215" s="396"/>
      <c r="C215" s="396"/>
      <c r="D215" s="310"/>
      <c r="E215" s="310"/>
      <c r="F215" s="310"/>
      <c r="G215" s="310"/>
      <c r="H215" s="310"/>
      <c r="I215" s="310"/>
      <c r="J215" s="225"/>
      <c r="K215" s="397"/>
      <c r="L215" s="397"/>
      <c r="M215" s="397"/>
      <c r="N215" s="225"/>
      <c r="O215" s="234"/>
      <c r="P215" s="234"/>
      <c r="AF215" s="234"/>
      <c r="AG215" s="234"/>
      <c r="AH215" s="234"/>
      <c r="AI215" s="234"/>
      <c r="AJ215" s="234"/>
      <c r="EO215" s="414"/>
      <c r="EP215" s="234"/>
      <c r="EQ215" s="415"/>
      <c r="ER215" s="276"/>
      <c r="ES215" s="415"/>
      <c r="ET215" s="415"/>
      <c r="EU215" s="277"/>
      <c r="EV215" s="277"/>
      <c r="EW215" s="414"/>
      <c r="EX215" s="234"/>
      <c r="GU215" s="415"/>
      <c r="GV215" s="276"/>
      <c r="GW215" s="415"/>
      <c r="GX215" s="415"/>
      <c r="GY215" s="277"/>
      <c r="GZ215" s="277"/>
      <c r="HA215" s="414"/>
      <c r="HB215" s="234"/>
      <c r="HC215" s="415"/>
      <c r="HD215" s="276"/>
      <c r="HE215" s="415"/>
      <c r="HF215" s="415"/>
      <c r="HG215" s="277"/>
      <c r="HH215" s="277"/>
    </row>
    <row r="216" spans="1:216" x14ac:dyDescent="0.2">
      <c r="A216" s="396"/>
      <c r="B216" s="396"/>
      <c r="C216" s="396"/>
      <c r="D216" s="310"/>
      <c r="E216" s="310"/>
      <c r="F216" s="310"/>
      <c r="G216" s="310"/>
      <c r="H216" s="310"/>
      <c r="I216" s="310"/>
      <c r="J216" s="225"/>
      <c r="K216" s="397"/>
      <c r="L216" s="397"/>
      <c r="M216" s="397"/>
      <c r="N216" s="225"/>
      <c r="O216" s="234"/>
      <c r="P216" s="234"/>
      <c r="AF216" s="234"/>
      <c r="AG216" s="234"/>
      <c r="AH216" s="234"/>
      <c r="AI216" s="234"/>
      <c r="AJ216" s="234"/>
      <c r="EO216" s="414"/>
      <c r="EP216" s="234"/>
      <c r="EQ216" s="415"/>
      <c r="ER216" s="276"/>
      <c r="ES216" s="415"/>
      <c r="ET216" s="415"/>
      <c r="EU216" s="277"/>
      <c r="EV216" s="277"/>
      <c r="EW216" s="414"/>
      <c r="EX216" s="234"/>
      <c r="GU216" s="415"/>
      <c r="GV216" s="276"/>
      <c r="GW216" s="415"/>
      <c r="GX216" s="415"/>
      <c r="GY216" s="277"/>
      <c r="GZ216" s="277"/>
      <c r="HA216" s="414"/>
      <c r="HB216" s="234"/>
      <c r="HC216" s="415"/>
      <c r="HD216" s="276"/>
      <c r="HE216" s="415"/>
      <c r="HF216" s="415"/>
      <c r="HG216" s="277"/>
      <c r="HH216" s="277"/>
    </row>
    <row r="217" spans="1:216" x14ac:dyDescent="0.2">
      <c r="A217" s="225"/>
      <c r="B217" s="225"/>
      <c r="C217" s="225"/>
      <c r="D217" s="225"/>
      <c r="E217" s="225"/>
      <c r="F217" s="225"/>
      <c r="G217" s="225"/>
      <c r="H217" s="225"/>
      <c r="I217" s="225"/>
      <c r="J217" s="225"/>
      <c r="K217" s="399"/>
      <c r="L217" s="399"/>
      <c r="M217" s="397"/>
      <c r="N217" s="225"/>
      <c r="O217" s="234"/>
      <c r="P217" s="234"/>
      <c r="AF217" s="234"/>
      <c r="AG217" s="234"/>
      <c r="AH217" s="234"/>
      <c r="AI217" s="234"/>
      <c r="AJ217" s="234"/>
      <c r="EO217" s="414"/>
      <c r="EP217" s="234"/>
      <c r="EQ217" s="415"/>
      <c r="ER217" s="276"/>
      <c r="ES217" s="415"/>
      <c r="ET217" s="415"/>
      <c r="EU217" s="277"/>
      <c r="EV217" s="277"/>
      <c r="EW217" s="414"/>
      <c r="EX217" s="234"/>
      <c r="GU217" s="415"/>
      <c r="GV217" s="276"/>
      <c r="GW217" s="415"/>
      <c r="GX217" s="415"/>
      <c r="GY217" s="277"/>
      <c r="GZ217" s="277"/>
      <c r="HA217" s="414"/>
      <c r="HB217" s="234"/>
      <c r="HC217" s="415"/>
      <c r="HD217" s="276"/>
      <c r="HE217" s="415"/>
      <c r="HF217" s="415"/>
      <c r="HG217" s="277"/>
      <c r="HH217" s="277"/>
    </row>
    <row r="218" spans="1:216" x14ac:dyDescent="0.2">
      <c r="A218" s="401"/>
      <c r="B218" s="401"/>
      <c r="C218" s="401"/>
      <c r="D218" s="225"/>
      <c r="E218" s="225"/>
      <c r="F218" s="225"/>
      <c r="G218" s="225"/>
      <c r="H218" s="225"/>
      <c r="I218" s="225"/>
      <c r="J218" s="401"/>
      <c r="K218" s="399"/>
      <c r="L218" s="399"/>
      <c r="M218" s="397"/>
      <c r="N218" s="225"/>
      <c r="O218" s="234"/>
      <c r="P218" s="234"/>
      <c r="AF218" s="234"/>
      <c r="AG218" s="234"/>
      <c r="AH218" s="234"/>
      <c r="AI218" s="234"/>
      <c r="AJ218" s="234"/>
      <c r="EO218" s="414"/>
      <c r="EP218" s="234"/>
      <c r="EQ218" s="415"/>
      <c r="ER218" s="276"/>
      <c r="ES218" s="415"/>
      <c r="ET218" s="415"/>
      <c r="EU218" s="277"/>
      <c r="EV218" s="277"/>
      <c r="EW218" s="414"/>
      <c r="EX218" s="234"/>
      <c r="GU218" s="415"/>
      <c r="GV218" s="276"/>
      <c r="GW218" s="415"/>
      <c r="GX218" s="415"/>
      <c r="GY218" s="277"/>
      <c r="GZ218" s="277"/>
      <c r="HA218" s="414"/>
      <c r="HB218" s="234"/>
      <c r="HC218" s="415"/>
      <c r="HD218" s="276"/>
      <c r="HE218" s="415"/>
      <c r="HF218" s="415"/>
      <c r="HG218" s="277"/>
      <c r="HH218" s="277"/>
    </row>
    <row r="219" spans="1:216" x14ac:dyDescent="0.2">
      <c r="A219" s="401"/>
      <c r="B219" s="401"/>
      <c r="C219" s="401"/>
      <c r="D219" s="225"/>
      <c r="E219" s="225"/>
      <c r="F219" s="225"/>
      <c r="G219" s="225"/>
      <c r="H219" s="225"/>
      <c r="I219" s="225"/>
      <c r="J219" s="401"/>
      <c r="K219" s="397"/>
      <c r="L219" s="397"/>
      <c r="M219" s="397"/>
      <c r="N219" s="225"/>
      <c r="O219" s="234"/>
      <c r="P219" s="234"/>
      <c r="AF219" s="234"/>
      <c r="AG219" s="234"/>
      <c r="AH219" s="234"/>
      <c r="AI219" s="234"/>
      <c r="AJ219" s="234"/>
      <c r="EO219" s="414"/>
      <c r="EP219" s="234"/>
      <c r="EQ219" s="415"/>
      <c r="ER219" s="276"/>
      <c r="ES219" s="415"/>
      <c r="ET219" s="415"/>
      <c r="EU219" s="277"/>
      <c r="EV219" s="277"/>
      <c r="EW219" s="414"/>
      <c r="EX219" s="234"/>
      <c r="GU219" s="415"/>
      <c r="GV219" s="276"/>
      <c r="GW219" s="415"/>
      <c r="GX219" s="415"/>
      <c r="GY219" s="277"/>
      <c r="GZ219" s="277"/>
      <c r="HA219" s="414"/>
      <c r="HB219" s="234"/>
      <c r="HC219" s="415"/>
      <c r="HD219" s="276"/>
      <c r="HE219" s="415"/>
      <c r="HF219" s="415"/>
      <c r="HG219" s="277"/>
      <c r="HH219" s="277"/>
    </row>
    <row r="220" spans="1:216" x14ac:dyDescent="0.2">
      <c r="A220" s="225"/>
      <c r="B220" s="225"/>
      <c r="C220" s="225"/>
      <c r="D220" s="225"/>
      <c r="E220" s="225"/>
      <c r="F220" s="225"/>
      <c r="G220" s="225"/>
      <c r="H220" s="225"/>
      <c r="I220" s="225"/>
      <c r="J220" s="225"/>
      <c r="K220" s="411"/>
      <c r="L220" s="411"/>
      <c r="M220" s="411"/>
      <c r="N220" s="225"/>
      <c r="O220" s="234"/>
      <c r="P220" s="234"/>
      <c r="AF220" s="234"/>
      <c r="AG220" s="234"/>
      <c r="AH220" s="234"/>
      <c r="AI220" s="234"/>
      <c r="AJ220" s="234"/>
      <c r="EO220" s="414"/>
      <c r="EP220" s="234"/>
      <c r="EQ220" s="415"/>
      <c r="ER220" s="276"/>
      <c r="ES220" s="415"/>
      <c r="ET220" s="415"/>
      <c r="EU220" s="277"/>
      <c r="EV220" s="277"/>
      <c r="EW220" s="414"/>
      <c r="EX220" s="234"/>
      <c r="GU220" s="415"/>
      <c r="GV220" s="276"/>
      <c r="GW220" s="415"/>
      <c r="GX220" s="415"/>
      <c r="GY220" s="277"/>
      <c r="GZ220" s="277"/>
      <c r="HA220" s="414"/>
      <c r="HB220" s="234"/>
      <c r="HC220" s="415"/>
      <c r="HD220" s="276"/>
      <c r="HE220" s="415"/>
      <c r="HF220" s="415"/>
      <c r="HG220" s="277"/>
      <c r="HH220" s="277"/>
    </row>
    <row r="221" spans="1:216" x14ac:dyDescent="0.2">
      <c r="A221" s="406"/>
      <c r="B221" s="406"/>
      <c r="C221" s="406"/>
      <c r="D221" s="406"/>
      <c r="E221" s="406"/>
      <c r="F221" s="406"/>
      <c r="G221" s="406"/>
      <c r="H221" s="406"/>
      <c r="I221" s="406"/>
      <c r="J221" s="406"/>
      <c r="K221" s="411"/>
      <c r="L221" s="411"/>
      <c r="M221" s="411"/>
      <c r="N221" s="406"/>
      <c r="O221" s="234"/>
      <c r="P221" s="234"/>
      <c r="AF221" s="234"/>
      <c r="AG221" s="234"/>
      <c r="AH221" s="234"/>
      <c r="AI221" s="234"/>
      <c r="AJ221" s="234"/>
      <c r="EO221" s="414"/>
      <c r="EP221" s="234"/>
      <c r="EQ221" s="415"/>
      <c r="ER221" s="276"/>
      <c r="ES221" s="415"/>
      <c r="ET221" s="415"/>
      <c r="EU221" s="277"/>
      <c r="EV221" s="277"/>
      <c r="EW221" s="414"/>
      <c r="EX221" s="234"/>
      <c r="GU221" s="415"/>
      <c r="GV221" s="276"/>
      <c r="GW221" s="415"/>
      <c r="GX221" s="415"/>
      <c r="GY221" s="277"/>
      <c r="GZ221" s="277"/>
      <c r="HA221" s="414"/>
      <c r="HB221" s="234"/>
      <c r="HC221" s="415"/>
      <c r="HD221" s="276"/>
      <c r="HE221" s="415"/>
      <c r="HF221" s="415"/>
      <c r="HG221" s="277"/>
      <c r="HH221" s="277"/>
    </row>
    <row r="222" spans="1:216" x14ac:dyDescent="0.2">
      <c r="A222" s="406"/>
      <c r="B222" s="406"/>
      <c r="C222" s="406"/>
      <c r="D222" s="406"/>
      <c r="E222" s="406"/>
      <c r="F222" s="406"/>
      <c r="G222" s="406"/>
      <c r="H222" s="406"/>
      <c r="I222" s="406"/>
      <c r="J222" s="406"/>
      <c r="K222" s="310"/>
      <c r="L222" s="310"/>
      <c r="M222" s="310"/>
      <c r="N222" s="406"/>
      <c r="O222" s="234"/>
      <c r="P222" s="234"/>
      <c r="AF222" s="234"/>
      <c r="AG222" s="234"/>
      <c r="AH222" s="234"/>
      <c r="AI222" s="234"/>
      <c r="AJ222" s="234"/>
      <c r="EO222" s="414"/>
      <c r="EP222" s="234"/>
      <c r="EQ222" s="415"/>
      <c r="ER222" s="276"/>
      <c r="ES222" s="415"/>
      <c r="ET222" s="415"/>
      <c r="EU222" s="277"/>
      <c r="EV222" s="277"/>
      <c r="EW222" s="414"/>
      <c r="EX222" s="234"/>
      <c r="GU222" s="415"/>
      <c r="GV222" s="276"/>
      <c r="GW222" s="415"/>
      <c r="GX222" s="415"/>
      <c r="GY222" s="277"/>
      <c r="GZ222" s="277"/>
      <c r="HA222" s="414"/>
      <c r="HB222" s="234"/>
      <c r="HC222" s="415"/>
      <c r="HD222" s="276"/>
      <c r="HE222" s="415"/>
      <c r="HF222" s="415"/>
      <c r="HG222" s="277"/>
      <c r="HH222" s="277"/>
    </row>
    <row r="223" spans="1:216" x14ac:dyDescent="0.2">
      <c r="A223" s="396"/>
      <c r="B223" s="396"/>
      <c r="C223" s="396"/>
      <c r="D223" s="310"/>
      <c r="E223" s="310"/>
      <c r="F223" s="310"/>
      <c r="G223" s="310"/>
      <c r="H223" s="310"/>
      <c r="I223" s="310"/>
      <c r="J223" s="396"/>
      <c r="K223" s="310"/>
      <c r="L223" s="310"/>
      <c r="M223" s="310"/>
      <c r="N223" s="310"/>
      <c r="O223" s="234"/>
      <c r="P223" s="234"/>
      <c r="AF223" s="234"/>
      <c r="AG223" s="234"/>
      <c r="AH223" s="234"/>
      <c r="AI223" s="234"/>
      <c r="AJ223" s="234"/>
      <c r="EO223" s="414"/>
      <c r="EP223" s="234"/>
      <c r="EQ223" s="415"/>
      <c r="ER223" s="276"/>
      <c r="ES223" s="415"/>
      <c r="ET223" s="415"/>
      <c r="EU223" s="277"/>
      <c r="EV223" s="277"/>
      <c r="EW223" s="414"/>
      <c r="EX223" s="234"/>
      <c r="GU223" s="415"/>
      <c r="GV223" s="276"/>
      <c r="GW223" s="415"/>
      <c r="GX223" s="415"/>
      <c r="GY223" s="277"/>
      <c r="GZ223" s="277"/>
      <c r="HA223" s="414"/>
      <c r="HB223" s="234"/>
      <c r="HC223" s="415"/>
      <c r="HD223" s="276"/>
      <c r="HE223" s="415"/>
      <c r="HF223" s="415"/>
      <c r="HG223" s="277"/>
      <c r="HH223" s="277"/>
    </row>
    <row r="224" spans="1:216" x14ac:dyDescent="0.2">
      <c r="A224" s="396"/>
      <c r="B224" s="396"/>
      <c r="C224" s="396"/>
      <c r="D224" s="310"/>
      <c r="E224" s="310"/>
      <c r="F224" s="310"/>
      <c r="G224" s="310"/>
      <c r="H224" s="310"/>
      <c r="I224" s="310"/>
      <c r="J224" s="396"/>
      <c r="K224" s="310"/>
      <c r="L224" s="310"/>
      <c r="M224" s="310"/>
      <c r="N224" s="310"/>
      <c r="O224" s="234"/>
      <c r="P224" s="234"/>
      <c r="AF224" s="234"/>
      <c r="AG224" s="234"/>
      <c r="AH224" s="234"/>
      <c r="AI224" s="234"/>
      <c r="AJ224" s="234"/>
      <c r="EO224" s="414"/>
      <c r="EP224" s="234"/>
      <c r="EQ224" s="415"/>
      <c r="ER224" s="276"/>
      <c r="ES224" s="415"/>
      <c r="ET224" s="415"/>
      <c r="EU224" s="277"/>
      <c r="EV224" s="277"/>
      <c r="EW224" s="414"/>
      <c r="EX224" s="234"/>
      <c r="GU224" s="415"/>
      <c r="GV224" s="276"/>
      <c r="GW224" s="415"/>
      <c r="GX224" s="415"/>
      <c r="GY224" s="277"/>
      <c r="GZ224" s="277"/>
      <c r="HA224" s="414"/>
      <c r="HB224" s="234"/>
      <c r="HC224" s="415"/>
      <c r="HD224" s="276"/>
      <c r="HE224" s="415"/>
      <c r="HF224" s="415"/>
      <c r="HG224" s="277"/>
      <c r="HH224" s="277"/>
    </row>
    <row r="225" spans="1:216" x14ac:dyDescent="0.2">
      <c r="A225" s="396"/>
      <c r="B225" s="396"/>
      <c r="C225" s="396"/>
      <c r="D225" s="310"/>
      <c r="E225" s="310"/>
      <c r="F225" s="310"/>
      <c r="G225" s="310"/>
      <c r="H225" s="310"/>
      <c r="I225" s="310"/>
      <c r="J225" s="396"/>
      <c r="K225" s="310"/>
      <c r="L225" s="310"/>
      <c r="M225" s="310"/>
      <c r="N225" s="310"/>
      <c r="O225" s="234"/>
      <c r="P225" s="234"/>
      <c r="AF225" s="234"/>
      <c r="AG225" s="234"/>
      <c r="AH225" s="234"/>
      <c r="AI225" s="234"/>
      <c r="AJ225" s="234"/>
      <c r="EO225" s="414"/>
      <c r="EP225" s="234"/>
      <c r="EQ225" s="415"/>
      <c r="ER225" s="276"/>
      <c r="ES225" s="415"/>
      <c r="ET225" s="415"/>
      <c r="EU225" s="277"/>
      <c r="EV225" s="277"/>
      <c r="EW225" s="414"/>
      <c r="EX225" s="234"/>
      <c r="GU225" s="415"/>
      <c r="GV225" s="276"/>
      <c r="GW225" s="415"/>
      <c r="GX225" s="415"/>
      <c r="GY225" s="277"/>
      <c r="GZ225" s="277"/>
      <c r="HA225" s="414"/>
      <c r="HB225" s="234"/>
      <c r="HC225" s="415"/>
      <c r="HD225" s="276"/>
      <c r="HE225" s="415"/>
      <c r="HF225" s="415"/>
      <c r="HG225" s="277"/>
      <c r="HH225" s="277"/>
    </row>
    <row r="226" spans="1:216" x14ac:dyDescent="0.2">
      <c r="A226" s="396"/>
      <c r="B226" s="396"/>
      <c r="C226" s="396"/>
      <c r="D226" s="310"/>
      <c r="E226" s="310"/>
      <c r="F226" s="310"/>
      <c r="G226" s="310"/>
      <c r="H226" s="310"/>
      <c r="I226" s="310"/>
      <c r="J226" s="396"/>
      <c r="K226" s="310"/>
      <c r="L226" s="310"/>
      <c r="M226" s="310"/>
      <c r="N226" s="310"/>
      <c r="O226" s="234"/>
      <c r="P226" s="234"/>
      <c r="AF226" s="234"/>
      <c r="AG226" s="234"/>
      <c r="AH226" s="234"/>
      <c r="AI226" s="234"/>
      <c r="AJ226" s="234"/>
      <c r="EO226" s="414"/>
      <c r="EP226" s="234"/>
      <c r="EQ226" s="415"/>
      <c r="ER226" s="276"/>
      <c r="ES226" s="415"/>
      <c r="ET226" s="415"/>
      <c r="EU226" s="277"/>
      <c r="EV226" s="277"/>
      <c r="EW226" s="414"/>
      <c r="EX226" s="234"/>
      <c r="GU226" s="415"/>
      <c r="GV226" s="276"/>
      <c r="GW226" s="415"/>
      <c r="GX226" s="415"/>
      <c r="GY226" s="277"/>
      <c r="GZ226" s="277"/>
      <c r="HA226" s="414"/>
      <c r="HB226" s="234"/>
      <c r="HC226" s="415"/>
      <c r="HD226" s="276"/>
      <c r="HE226" s="415"/>
      <c r="HF226" s="415"/>
      <c r="HG226" s="277"/>
      <c r="HH226" s="277"/>
    </row>
    <row r="227" spans="1:216" x14ac:dyDescent="0.2">
      <c r="A227" s="396"/>
      <c r="B227" s="396"/>
      <c r="C227" s="396"/>
      <c r="D227" s="310"/>
      <c r="E227" s="310"/>
      <c r="F227" s="310"/>
      <c r="G227" s="310"/>
      <c r="H227" s="310"/>
      <c r="I227" s="310"/>
      <c r="J227" s="396"/>
      <c r="K227" s="310"/>
      <c r="L227" s="310"/>
      <c r="M227" s="310"/>
      <c r="N227" s="310"/>
      <c r="O227" s="234"/>
      <c r="P227" s="234"/>
      <c r="AF227" s="234"/>
      <c r="AG227" s="234"/>
      <c r="AH227" s="234"/>
      <c r="AI227" s="234"/>
      <c r="AJ227" s="234"/>
      <c r="EO227" s="414"/>
      <c r="EP227" s="234"/>
      <c r="EQ227" s="415"/>
      <c r="ER227" s="276"/>
      <c r="ES227" s="415"/>
      <c r="ET227" s="415"/>
      <c r="EU227" s="277"/>
      <c r="EV227" s="277"/>
      <c r="EW227" s="414"/>
      <c r="EX227" s="234"/>
      <c r="GU227" s="415"/>
      <c r="GV227" s="276"/>
      <c r="GW227" s="415"/>
      <c r="GX227" s="415"/>
      <c r="GY227" s="277"/>
      <c r="GZ227" s="277"/>
      <c r="HA227" s="414"/>
      <c r="HB227" s="234"/>
      <c r="HC227" s="415"/>
      <c r="HD227" s="276"/>
      <c r="HE227" s="415"/>
      <c r="HF227" s="415"/>
      <c r="HG227" s="277"/>
      <c r="HH227" s="277"/>
    </row>
    <row r="228" spans="1:216" x14ac:dyDescent="0.2">
      <c r="A228" s="396"/>
      <c r="B228" s="396"/>
      <c r="C228" s="396"/>
      <c r="D228" s="310"/>
      <c r="E228" s="310"/>
      <c r="F228" s="310"/>
      <c r="G228" s="310"/>
      <c r="H228" s="310"/>
      <c r="I228" s="310"/>
      <c r="J228" s="396"/>
      <c r="K228" s="310"/>
      <c r="L228" s="310"/>
      <c r="M228" s="310"/>
      <c r="N228" s="310"/>
      <c r="O228" s="234"/>
      <c r="P228" s="234"/>
      <c r="AF228" s="234"/>
      <c r="AG228" s="234"/>
      <c r="AH228" s="234"/>
      <c r="AI228" s="234"/>
      <c r="AJ228" s="234"/>
      <c r="EO228" s="414"/>
      <c r="EP228" s="234"/>
      <c r="EQ228" s="415"/>
      <c r="ER228" s="276"/>
      <c r="ES228" s="415"/>
      <c r="ET228" s="415"/>
      <c r="EU228" s="277"/>
      <c r="EV228" s="277"/>
      <c r="EW228" s="414"/>
      <c r="EX228" s="234"/>
      <c r="GU228" s="415"/>
      <c r="GV228" s="276"/>
      <c r="GW228" s="415"/>
      <c r="GX228" s="415"/>
      <c r="GY228" s="277"/>
      <c r="GZ228" s="277"/>
      <c r="HA228" s="414"/>
      <c r="HB228" s="234"/>
      <c r="HC228" s="415"/>
      <c r="HD228" s="276"/>
      <c r="HE228" s="415"/>
      <c r="HF228" s="415"/>
      <c r="HG228" s="277"/>
      <c r="HH228" s="277"/>
    </row>
    <row r="229" spans="1:216" x14ac:dyDescent="0.2">
      <c r="A229" s="396"/>
      <c r="B229" s="396"/>
      <c r="C229" s="396"/>
      <c r="D229" s="310"/>
      <c r="E229" s="310"/>
      <c r="F229" s="310"/>
      <c r="G229" s="310"/>
      <c r="H229" s="310"/>
      <c r="I229" s="310"/>
      <c r="J229" s="396"/>
      <c r="K229" s="310"/>
      <c r="L229" s="310"/>
      <c r="M229" s="310"/>
      <c r="N229" s="310"/>
      <c r="O229" s="234"/>
      <c r="P229" s="234"/>
      <c r="AF229" s="234"/>
      <c r="AG229" s="234"/>
      <c r="AH229" s="234"/>
      <c r="AI229" s="234"/>
      <c r="AJ229" s="234"/>
      <c r="EO229" s="414"/>
      <c r="EP229" s="234"/>
      <c r="EQ229" s="415"/>
      <c r="ER229" s="276"/>
      <c r="ES229" s="415"/>
      <c r="ET229" s="415"/>
      <c r="EU229" s="277"/>
      <c r="EV229" s="277"/>
      <c r="EW229" s="414"/>
      <c r="EX229" s="234"/>
      <c r="GU229" s="415"/>
      <c r="GV229" s="276"/>
      <c r="GW229" s="415"/>
      <c r="GX229" s="415"/>
      <c r="GY229" s="277"/>
      <c r="GZ229" s="277"/>
      <c r="HA229" s="414"/>
      <c r="HB229" s="234"/>
      <c r="HC229" s="415"/>
      <c r="HD229" s="276"/>
      <c r="HE229" s="415"/>
      <c r="HF229" s="415"/>
      <c r="HG229" s="277"/>
      <c r="HH229" s="277"/>
    </row>
    <row r="230" spans="1:216" x14ac:dyDescent="0.2">
      <c r="A230" s="396"/>
      <c r="B230" s="396"/>
      <c r="C230" s="396"/>
      <c r="D230" s="310"/>
      <c r="E230" s="310"/>
      <c r="F230" s="310"/>
      <c r="G230" s="310"/>
      <c r="H230" s="310"/>
      <c r="I230" s="310"/>
      <c r="J230" s="396"/>
      <c r="K230" s="310"/>
      <c r="L230" s="310"/>
      <c r="M230" s="310"/>
      <c r="N230" s="310"/>
      <c r="O230" s="234"/>
      <c r="P230" s="234"/>
      <c r="AF230" s="234"/>
      <c r="AG230" s="234"/>
      <c r="AH230" s="234"/>
      <c r="AI230" s="234"/>
      <c r="AJ230" s="234"/>
      <c r="EO230" s="414"/>
      <c r="EP230" s="234"/>
      <c r="EQ230" s="415"/>
      <c r="ER230" s="276"/>
      <c r="ES230" s="415"/>
      <c r="ET230" s="415"/>
      <c r="EU230" s="277"/>
      <c r="EV230" s="277"/>
      <c r="EW230" s="414"/>
      <c r="EX230" s="234"/>
      <c r="GU230" s="415"/>
      <c r="GV230" s="276"/>
      <c r="GW230" s="415"/>
      <c r="GX230" s="415"/>
      <c r="GY230" s="277"/>
      <c r="GZ230" s="277"/>
      <c r="HA230" s="414"/>
      <c r="HB230" s="234"/>
      <c r="HC230" s="415"/>
      <c r="HD230" s="276"/>
      <c r="HE230" s="415"/>
      <c r="HF230" s="415"/>
      <c r="HG230" s="277"/>
      <c r="HH230" s="277"/>
    </row>
    <row r="231" spans="1:216" x14ac:dyDescent="0.2">
      <c r="A231" s="396"/>
      <c r="B231" s="396"/>
      <c r="C231" s="396"/>
      <c r="D231" s="310"/>
      <c r="E231" s="310"/>
      <c r="F231" s="310"/>
      <c r="G231" s="310"/>
      <c r="H231" s="310"/>
      <c r="I231" s="310"/>
      <c r="J231" s="396"/>
      <c r="K231" s="310"/>
      <c r="L231" s="310"/>
      <c r="M231" s="310"/>
      <c r="N231" s="310"/>
      <c r="O231" s="234"/>
      <c r="P231" s="234"/>
      <c r="AF231" s="234"/>
      <c r="AG231" s="234"/>
      <c r="AH231" s="234"/>
      <c r="AI231" s="234"/>
      <c r="AJ231" s="234"/>
      <c r="EO231" s="414"/>
      <c r="EP231" s="234"/>
      <c r="EQ231" s="415"/>
      <c r="ER231" s="276"/>
      <c r="ES231" s="415"/>
      <c r="ET231" s="415"/>
      <c r="EU231" s="277"/>
      <c r="EV231" s="277"/>
      <c r="EW231" s="414"/>
      <c r="EX231" s="234"/>
      <c r="GU231" s="415"/>
      <c r="GV231" s="276"/>
      <c r="GW231" s="415"/>
      <c r="GX231" s="415"/>
      <c r="GY231" s="277"/>
      <c r="GZ231" s="277"/>
      <c r="HA231" s="414"/>
      <c r="HB231" s="234"/>
      <c r="HC231" s="415"/>
      <c r="HD231" s="276"/>
      <c r="HE231" s="415"/>
      <c r="HF231" s="415"/>
      <c r="HG231" s="277"/>
      <c r="HH231" s="277"/>
    </row>
    <row r="232" spans="1:216" x14ac:dyDescent="0.2">
      <c r="A232" s="396"/>
      <c r="B232" s="396"/>
      <c r="C232" s="396"/>
      <c r="D232" s="310"/>
      <c r="E232" s="310"/>
      <c r="F232" s="310"/>
      <c r="G232" s="310"/>
      <c r="H232" s="310"/>
      <c r="I232" s="310"/>
      <c r="J232" s="396"/>
      <c r="K232" s="310"/>
      <c r="L232" s="310"/>
      <c r="M232" s="310"/>
      <c r="N232" s="310"/>
      <c r="O232" s="234"/>
      <c r="P232" s="234"/>
      <c r="AF232" s="234"/>
      <c r="AG232" s="234"/>
      <c r="AH232" s="234"/>
      <c r="AI232" s="234"/>
      <c r="AJ232" s="234"/>
      <c r="EO232" s="414"/>
      <c r="EP232" s="234"/>
      <c r="EQ232" s="415"/>
      <c r="ER232" s="276"/>
      <c r="ES232" s="415"/>
      <c r="ET232" s="415"/>
      <c r="EU232" s="277"/>
      <c r="EV232" s="277"/>
      <c r="EW232" s="414"/>
      <c r="EX232" s="234"/>
      <c r="GU232" s="415"/>
      <c r="GV232" s="276"/>
      <c r="GW232" s="415"/>
      <c r="GX232" s="415"/>
      <c r="GY232" s="277"/>
      <c r="GZ232" s="277"/>
      <c r="HA232" s="414"/>
      <c r="HB232" s="234"/>
      <c r="HC232" s="415"/>
      <c r="HD232" s="276"/>
      <c r="HE232" s="415"/>
      <c r="HF232" s="415"/>
      <c r="HG232" s="277"/>
      <c r="HH232" s="277"/>
    </row>
    <row r="233" spans="1:216" x14ac:dyDescent="0.2">
      <c r="A233" s="396"/>
      <c r="B233" s="396"/>
      <c r="C233" s="396"/>
      <c r="D233" s="310"/>
      <c r="E233" s="310"/>
      <c r="F233" s="310"/>
      <c r="G233" s="310"/>
      <c r="H233" s="310"/>
      <c r="I233" s="310"/>
      <c r="J233" s="396"/>
      <c r="K233" s="310"/>
      <c r="L233" s="310"/>
      <c r="M233" s="310"/>
      <c r="N233" s="310"/>
      <c r="O233" s="234"/>
      <c r="P233" s="234"/>
      <c r="AF233" s="234"/>
      <c r="AG233" s="234"/>
      <c r="AH233" s="234"/>
      <c r="AI233" s="234"/>
      <c r="AJ233" s="234"/>
      <c r="EO233" s="414"/>
      <c r="EP233" s="234"/>
      <c r="EQ233" s="415"/>
      <c r="ER233" s="276"/>
      <c r="ES233" s="415"/>
      <c r="ET233" s="415"/>
      <c r="EU233" s="277"/>
      <c r="EV233" s="277"/>
      <c r="EW233" s="414"/>
      <c r="EX233" s="234"/>
      <c r="GU233" s="415"/>
      <c r="GV233" s="276"/>
      <c r="GW233" s="415"/>
      <c r="GX233" s="415"/>
      <c r="GY233" s="277"/>
      <c r="GZ233" s="277"/>
      <c r="HA233" s="414"/>
      <c r="HB233" s="234"/>
      <c r="HC233" s="415"/>
      <c r="HD233" s="276"/>
      <c r="HE233" s="415"/>
      <c r="HF233" s="415"/>
      <c r="HG233" s="277"/>
      <c r="HH233" s="277"/>
    </row>
    <row r="234" spans="1:216" x14ac:dyDescent="0.2">
      <c r="A234" s="396"/>
      <c r="B234" s="396"/>
      <c r="C234" s="396"/>
      <c r="D234" s="310"/>
      <c r="E234" s="310"/>
      <c r="F234" s="310"/>
      <c r="G234" s="310"/>
      <c r="H234" s="310"/>
      <c r="I234" s="310"/>
      <c r="J234" s="396"/>
      <c r="K234" s="310"/>
      <c r="L234" s="310"/>
      <c r="M234" s="310"/>
      <c r="N234" s="310"/>
      <c r="O234" s="234"/>
      <c r="P234" s="234"/>
      <c r="AF234" s="234"/>
      <c r="AG234" s="234"/>
      <c r="AH234" s="234"/>
      <c r="AI234" s="234"/>
      <c r="AJ234" s="234"/>
      <c r="EO234" s="234"/>
      <c r="EP234" s="234"/>
      <c r="EQ234" s="234"/>
      <c r="ER234" s="234"/>
      <c r="ES234" s="234"/>
      <c r="ET234" s="234"/>
      <c r="EU234" s="234"/>
      <c r="EV234" s="234"/>
      <c r="EW234" s="234"/>
      <c r="EX234" s="234"/>
      <c r="GU234" s="415"/>
      <c r="GV234" s="276"/>
      <c r="GW234" s="415"/>
      <c r="GX234" s="415"/>
      <c r="GY234" s="277"/>
      <c r="GZ234" s="277"/>
      <c r="HA234" s="414"/>
      <c r="HB234" s="234"/>
      <c r="HC234" s="415"/>
      <c r="HD234" s="276"/>
      <c r="HE234" s="415"/>
      <c r="HF234" s="415"/>
      <c r="HG234" s="277"/>
      <c r="HH234" s="277"/>
    </row>
    <row r="235" spans="1:216" x14ac:dyDescent="0.2">
      <c r="A235" s="396"/>
      <c r="B235" s="396"/>
      <c r="C235" s="396"/>
      <c r="D235" s="310"/>
      <c r="E235" s="310"/>
      <c r="F235" s="310"/>
      <c r="G235" s="310"/>
      <c r="H235" s="310"/>
      <c r="I235" s="310"/>
      <c r="J235" s="396"/>
      <c r="K235" s="310"/>
      <c r="L235" s="310"/>
      <c r="M235" s="310"/>
      <c r="N235" s="310"/>
      <c r="O235" s="234"/>
      <c r="P235" s="234"/>
      <c r="AF235" s="234"/>
      <c r="AG235" s="234"/>
      <c r="AH235" s="234"/>
      <c r="AI235" s="234"/>
      <c r="AJ235" s="234"/>
      <c r="EO235" s="234"/>
      <c r="EP235" s="234"/>
      <c r="EQ235" s="413"/>
      <c r="ER235" s="413"/>
      <c r="ES235" s="413"/>
      <c r="ET235" s="413"/>
      <c r="EU235" s="234"/>
      <c r="EV235" s="234"/>
      <c r="EW235" s="234"/>
      <c r="EX235" s="234"/>
      <c r="GU235" s="234"/>
      <c r="GV235" s="234"/>
      <c r="GW235" s="234"/>
      <c r="GX235" s="234"/>
      <c r="GY235" s="234"/>
      <c r="GZ235" s="234"/>
      <c r="HA235" s="234"/>
      <c r="HB235" s="234"/>
      <c r="HC235" s="234"/>
      <c r="HD235" s="234"/>
      <c r="HE235" s="234"/>
      <c r="HF235" s="234"/>
      <c r="HG235" s="234"/>
      <c r="HH235" s="234"/>
    </row>
    <row r="236" spans="1:216" x14ac:dyDescent="0.2">
      <c r="A236" s="396"/>
      <c r="B236" s="396"/>
      <c r="C236" s="396"/>
      <c r="D236" s="310"/>
      <c r="E236" s="310"/>
      <c r="F236" s="310"/>
      <c r="G236" s="310"/>
      <c r="H236" s="310"/>
      <c r="I236" s="310"/>
      <c r="J236" s="396"/>
      <c r="K236" s="310"/>
      <c r="L236" s="310"/>
      <c r="M236" s="310"/>
      <c r="N236" s="310"/>
      <c r="O236" s="234"/>
      <c r="P236" s="234"/>
      <c r="AF236" s="234"/>
      <c r="AG236" s="234"/>
      <c r="AH236" s="234"/>
      <c r="AI236" s="234"/>
      <c r="AJ236" s="234"/>
      <c r="EO236" s="234"/>
      <c r="EP236" s="234"/>
      <c r="EQ236" s="413"/>
      <c r="ER236" s="413"/>
      <c r="ES236" s="413"/>
      <c r="ET236" s="413"/>
      <c r="EU236" s="234"/>
      <c r="EV236" s="234"/>
      <c r="EW236" s="234"/>
      <c r="EX236" s="234"/>
      <c r="GU236" s="413"/>
      <c r="GV236" s="413"/>
      <c r="GW236" s="413"/>
      <c r="GX236" s="413"/>
      <c r="GY236" s="234"/>
      <c r="GZ236" s="234"/>
      <c r="HA236" s="234"/>
      <c r="HB236" s="234"/>
      <c r="HC236" s="413"/>
      <c r="HD236" s="413"/>
      <c r="HE236" s="413"/>
      <c r="HF236" s="413"/>
      <c r="HG236" s="234"/>
      <c r="HH236" s="234"/>
    </row>
    <row r="237" spans="1:216" x14ac:dyDescent="0.2">
      <c r="A237" s="396"/>
      <c r="B237" s="396"/>
      <c r="C237" s="396"/>
      <c r="D237" s="310"/>
      <c r="E237" s="310"/>
      <c r="F237" s="310"/>
      <c r="G237" s="310"/>
      <c r="H237" s="310"/>
      <c r="I237" s="310"/>
      <c r="J237" s="396"/>
      <c r="K237" s="310"/>
      <c r="L237" s="310"/>
      <c r="M237" s="310"/>
      <c r="N237" s="310"/>
      <c r="O237" s="234"/>
      <c r="P237" s="234"/>
      <c r="AF237" s="234"/>
      <c r="AG237" s="234"/>
      <c r="AH237" s="234"/>
      <c r="AI237" s="234"/>
      <c r="AJ237" s="234"/>
      <c r="EO237" s="234"/>
      <c r="EP237" s="234"/>
      <c r="EQ237" s="234"/>
      <c r="ER237" s="234"/>
      <c r="ES237" s="234"/>
      <c r="ET237" s="234"/>
      <c r="EU237" s="234"/>
      <c r="EV237" s="234"/>
      <c r="EW237" s="234"/>
      <c r="EX237" s="234"/>
      <c r="GU237" s="413"/>
      <c r="GV237" s="413"/>
      <c r="GW237" s="413"/>
      <c r="GX237" s="413"/>
      <c r="GY237" s="234"/>
      <c r="GZ237" s="234"/>
      <c r="HA237" s="234"/>
      <c r="HB237" s="234"/>
      <c r="HC237" s="413"/>
      <c r="HD237" s="413"/>
      <c r="HE237" s="413"/>
      <c r="HF237" s="413"/>
      <c r="HG237" s="234"/>
      <c r="HH237" s="234"/>
    </row>
    <row r="238" spans="1:216" x14ac:dyDescent="0.2">
      <c r="A238" s="396"/>
      <c r="B238" s="396"/>
      <c r="C238" s="396"/>
      <c r="D238" s="310"/>
      <c r="E238" s="310"/>
      <c r="F238" s="310"/>
      <c r="G238" s="310"/>
      <c r="H238" s="310"/>
      <c r="I238" s="310"/>
      <c r="J238" s="396"/>
      <c r="K238" s="310"/>
      <c r="L238" s="310"/>
      <c r="M238" s="310"/>
      <c r="N238" s="310"/>
      <c r="O238" s="234"/>
      <c r="P238" s="234"/>
      <c r="AF238" s="234"/>
      <c r="AG238" s="234"/>
      <c r="AH238" s="234"/>
      <c r="AI238" s="234"/>
      <c r="AJ238" s="234"/>
      <c r="EO238" s="241"/>
      <c r="EP238" s="234"/>
      <c r="EQ238" s="241"/>
      <c r="ER238" s="241"/>
      <c r="ES238" s="241"/>
      <c r="ET238" s="241"/>
      <c r="EU238" s="241"/>
      <c r="EV238" s="241"/>
      <c r="EW238" s="241"/>
      <c r="EX238" s="234"/>
      <c r="GU238" s="234"/>
      <c r="GV238" s="234"/>
      <c r="GW238" s="234"/>
      <c r="GX238" s="234"/>
      <c r="GY238" s="234"/>
      <c r="GZ238" s="234"/>
      <c r="HA238" s="234"/>
      <c r="HB238" s="234"/>
      <c r="HC238" s="234"/>
      <c r="HD238" s="234"/>
      <c r="HE238" s="234"/>
      <c r="HF238" s="234"/>
      <c r="HG238" s="234"/>
      <c r="HH238" s="234"/>
    </row>
    <row r="239" spans="1:216" x14ac:dyDescent="0.2">
      <c r="A239" s="396"/>
      <c r="B239" s="396"/>
      <c r="C239" s="396"/>
      <c r="D239" s="310"/>
      <c r="E239" s="310"/>
      <c r="F239" s="310"/>
      <c r="G239" s="310"/>
      <c r="H239" s="310"/>
      <c r="I239" s="310"/>
      <c r="J239" s="396"/>
      <c r="K239" s="310"/>
      <c r="L239" s="310"/>
      <c r="M239" s="310"/>
      <c r="N239" s="310"/>
      <c r="O239" s="234"/>
      <c r="P239" s="234"/>
      <c r="AF239" s="234"/>
      <c r="AG239" s="234"/>
      <c r="AH239" s="234"/>
      <c r="AI239" s="234"/>
      <c r="AJ239" s="234"/>
      <c r="EO239" s="241"/>
      <c r="EP239" s="234"/>
      <c r="EQ239" s="241"/>
      <c r="ER239" s="241"/>
      <c r="ES239" s="241"/>
      <c r="ET239" s="241"/>
      <c r="EU239" s="241"/>
      <c r="EV239" s="241"/>
      <c r="EW239" s="241"/>
      <c r="EX239" s="234"/>
      <c r="GU239" s="241"/>
      <c r="GV239" s="241"/>
      <c r="GW239" s="241"/>
      <c r="GX239" s="241"/>
      <c r="GY239" s="241"/>
      <c r="GZ239" s="241"/>
      <c r="HA239" s="241"/>
      <c r="HB239" s="234"/>
      <c r="HC239" s="241"/>
      <c r="HD239" s="241"/>
      <c r="HE239" s="241"/>
      <c r="HF239" s="241"/>
      <c r="HG239" s="241"/>
      <c r="HH239" s="241"/>
    </row>
    <row r="240" spans="1:216" x14ac:dyDescent="0.2">
      <c r="A240" s="396"/>
      <c r="B240" s="396"/>
      <c r="C240" s="396"/>
      <c r="D240" s="310"/>
      <c r="E240" s="310"/>
      <c r="F240" s="310"/>
      <c r="G240" s="310"/>
      <c r="H240" s="310"/>
      <c r="I240" s="310"/>
      <c r="J240" s="396"/>
      <c r="K240" s="397"/>
      <c r="L240" s="397"/>
      <c r="M240" s="397"/>
      <c r="N240" s="310"/>
      <c r="O240" s="234"/>
      <c r="P240" s="234"/>
      <c r="AF240" s="234"/>
      <c r="AG240" s="234"/>
      <c r="AH240" s="234"/>
      <c r="AI240" s="234"/>
      <c r="AJ240" s="234"/>
      <c r="EO240" s="414"/>
      <c r="EP240" s="234"/>
      <c r="EQ240" s="415"/>
      <c r="ER240" s="276"/>
      <c r="ES240" s="415"/>
      <c r="ET240" s="415"/>
      <c r="EU240" s="277"/>
      <c r="EV240" s="277"/>
      <c r="EW240" s="414"/>
      <c r="EX240" s="234"/>
      <c r="GU240" s="241"/>
      <c r="GV240" s="241"/>
      <c r="GW240" s="241"/>
      <c r="GX240" s="241"/>
      <c r="GY240" s="241"/>
      <c r="GZ240" s="241"/>
      <c r="HA240" s="241"/>
      <c r="HB240" s="234"/>
      <c r="HC240" s="241"/>
      <c r="HD240" s="241"/>
      <c r="HE240" s="241"/>
      <c r="HF240" s="241"/>
      <c r="HG240" s="241"/>
      <c r="HH240" s="241"/>
    </row>
    <row r="241" spans="1:216" x14ac:dyDescent="0.2">
      <c r="A241" s="396"/>
      <c r="B241" s="396"/>
      <c r="C241" s="396"/>
      <c r="D241" s="310"/>
      <c r="E241" s="310"/>
      <c r="F241" s="310"/>
      <c r="G241" s="310"/>
      <c r="H241" s="310"/>
      <c r="I241" s="310"/>
      <c r="J241" s="225"/>
      <c r="K241" s="397"/>
      <c r="L241" s="397"/>
      <c r="M241" s="397"/>
      <c r="N241" s="225"/>
      <c r="O241" s="234"/>
      <c r="P241" s="234"/>
      <c r="AF241" s="234"/>
      <c r="AG241" s="234"/>
      <c r="AH241" s="234"/>
      <c r="AI241" s="234"/>
      <c r="AJ241" s="234"/>
      <c r="EO241" s="414"/>
      <c r="EP241" s="234"/>
      <c r="EQ241" s="415"/>
      <c r="ER241" s="276"/>
      <c r="ES241" s="415"/>
      <c r="ET241" s="415"/>
      <c r="EU241" s="277"/>
      <c r="EV241" s="277"/>
      <c r="EW241" s="414"/>
      <c r="EX241" s="234"/>
      <c r="GU241" s="415"/>
      <c r="GV241" s="276"/>
      <c r="GW241" s="415"/>
      <c r="GX241" s="415"/>
      <c r="GY241" s="277"/>
      <c r="GZ241" s="277"/>
      <c r="HA241" s="414"/>
      <c r="HB241" s="234"/>
      <c r="HC241" s="415"/>
      <c r="HD241" s="276"/>
      <c r="HE241" s="415"/>
      <c r="HF241" s="415"/>
      <c r="HG241" s="277"/>
      <c r="HH241" s="277"/>
    </row>
    <row r="242" spans="1:216" x14ac:dyDescent="0.2">
      <c r="A242" s="396"/>
      <c r="B242" s="396"/>
      <c r="C242" s="396"/>
      <c r="D242" s="310"/>
      <c r="E242" s="310"/>
      <c r="F242" s="310"/>
      <c r="G242" s="310"/>
      <c r="H242" s="310"/>
      <c r="I242" s="310"/>
      <c r="J242" s="225"/>
      <c r="K242" s="397"/>
      <c r="L242" s="397"/>
      <c r="M242" s="397"/>
      <c r="N242" s="225"/>
      <c r="O242" s="234"/>
      <c r="P242" s="234"/>
      <c r="AF242" s="234"/>
      <c r="AG242" s="234"/>
      <c r="AH242" s="234"/>
      <c r="AI242" s="234"/>
      <c r="AJ242" s="234"/>
      <c r="EO242" s="414"/>
      <c r="EP242" s="234"/>
      <c r="EQ242" s="415"/>
      <c r="ER242" s="276"/>
      <c r="ES242" s="415"/>
      <c r="ET242" s="415"/>
      <c r="EU242" s="277"/>
      <c r="EV242" s="277"/>
      <c r="EW242" s="414"/>
      <c r="EX242" s="234"/>
      <c r="GU242" s="415"/>
      <c r="GV242" s="276"/>
      <c r="GW242" s="415"/>
      <c r="GX242" s="415"/>
      <c r="GY242" s="277"/>
      <c r="GZ242" s="277"/>
      <c r="HA242" s="414"/>
      <c r="HB242" s="234"/>
      <c r="HC242" s="415"/>
      <c r="HD242" s="276"/>
      <c r="HE242" s="415"/>
      <c r="HF242" s="415"/>
      <c r="HG242" s="277"/>
      <c r="HH242" s="277"/>
    </row>
    <row r="243" spans="1:216" x14ac:dyDescent="0.2">
      <c r="A243" s="396"/>
      <c r="B243" s="396"/>
      <c r="C243" s="396"/>
      <c r="D243" s="310"/>
      <c r="E243" s="310"/>
      <c r="F243" s="310"/>
      <c r="G243" s="310"/>
      <c r="H243" s="310"/>
      <c r="I243" s="310"/>
      <c r="J243" s="225"/>
      <c r="K243" s="397"/>
      <c r="L243" s="397"/>
      <c r="M243" s="397"/>
      <c r="N243" s="225"/>
      <c r="O243" s="234"/>
      <c r="P243" s="234"/>
      <c r="AF243" s="234"/>
      <c r="AG243" s="234"/>
      <c r="AH243" s="234"/>
      <c r="AI243" s="234"/>
      <c r="AJ243" s="234"/>
      <c r="EO243" s="414"/>
      <c r="EP243" s="234"/>
      <c r="EQ243" s="415"/>
      <c r="ER243" s="276"/>
      <c r="ES243" s="415"/>
      <c r="ET243" s="415"/>
      <c r="EU243" s="277"/>
      <c r="EV243" s="277"/>
      <c r="EW243" s="414"/>
      <c r="EX243" s="234"/>
      <c r="GU243" s="415"/>
      <c r="GV243" s="276"/>
      <c r="GW243" s="415"/>
      <c r="GX243" s="415"/>
      <c r="GY243" s="277"/>
      <c r="GZ243" s="277"/>
      <c r="HA243" s="414"/>
      <c r="HB243" s="234"/>
      <c r="HC243" s="415"/>
      <c r="HD243" s="276"/>
      <c r="HE243" s="415"/>
      <c r="HF243" s="415"/>
      <c r="HG243" s="277"/>
      <c r="HH243" s="277"/>
    </row>
    <row r="244" spans="1:216" x14ac:dyDescent="0.2">
      <c r="A244" s="225"/>
      <c r="B244" s="225"/>
      <c r="C244" s="225"/>
      <c r="D244" s="225"/>
      <c r="E244" s="225"/>
      <c r="F244" s="225"/>
      <c r="G244" s="225"/>
      <c r="H244" s="225"/>
      <c r="I244" s="225"/>
      <c r="J244" s="225"/>
      <c r="K244" s="399"/>
      <c r="L244" s="399"/>
      <c r="M244" s="397"/>
      <c r="N244" s="225"/>
      <c r="O244" s="234"/>
      <c r="P244" s="234"/>
      <c r="AF244" s="234"/>
      <c r="AG244" s="234"/>
      <c r="AH244" s="234"/>
      <c r="AI244" s="234"/>
      <c r="AJ244" s="234"/>
      <c r="EO244" s="414"/>
      <c r="EP244" s="234"/>
      <c r="EQ244" s="415"/>
      <c r="ER244" s="276"/>
      <c r="ES244" s="415"/>
      <c r="ET244" s="415"/>
      <c r="EU244" s="277"/>
      <c r="EV244" s="277"/>
      <c r="EW244" s="414"/>
      <c r="EX244" s="234"/>
      <c r="GU244" s="415"/>
      <c r="GV244" s="276"/>
      <c r="GW244" s="415"/>
      <c r="GX244" s="415"/>
      <c r="GY244" s="277"/>
      <c r="GZ244" s="277"/>
      <c r="HA244" s="414"/>
      <c r="HB244" s="234"/>
      <c r="HC244" s="415"/>
      <c r="HD244" s="276"/>
      <c r="HE244" s="415"/>
      <c r="HF244" s="415"/>
      <c r="HG244" s="277"/>
      <c r="HH244" s="277"/>
    </row>
    <row r="245" spans="1:216" x14ac:dyDescent="0.2">
      <c r="A245" s="401"/>
      <c r="B245" s="401"/>
      <c r="C245" s="401"/>
      <c r="D245" s="225"/>
      <c r="E245" s="225"/>
      <c r="F245" s="225"/>
      <c r="G245" s="225"/>
      <c r="H245" s="225"/>
      <c r="I245" s="225"/>
      <c r="J245" s="401"/>
      <c r="K245" s="399"/>
      <c r="L245" s="399"/>
      <c r="M245" s="397"/>
      <c r="N245" s="225"/>
      <c r="O245" s="234"/>
      <c r="P245" s="234"/>
      <c r="AF245" s="234"/>
      <c r="AG245" s="234"/>
      <c r="AH245" s="234"/>
      <c r="AI245" s="234"/>
      <c r="AJ245" s="234"/>
      <c r="EO245" s="414"/>
      <c r="EP245" s="234"/>
      <c r="EQ245" s="415"/>
      <c r="ER245" s="276"/>
      <c r="ES245" s="415"/>
      <c r="ET245" s="415"/>
      <c r="EU245" s="277"/>
      <c r="EV245" s="277"/>
      <c r="EW245" s="414"/>
      <c r="EX245" s="234"/>
      <c r="GU245" s="415"/>
      <c r="GV245" s="276"/>
      <c r="GW245" s="415"/>
      <c r="GX245" s="415"/>
      <c r="GY245" s="277"/>
      <c r="GZ245" s="277"/>
      <c r="HA245" s="414"/>
      <c r="HB245" s="234"/>
      <c r="HC245" s="415"/>
      <c r="HD245" s="276"/>
      <c r="HE245" s="415"/>
      <c r="HF245" s="415"/>
      <c r="HG245" s="277"/>
      <c r="HH245" s="277"/>
    </row>
    <row r="246" spans="1:216" x14ac:dyDescent="0.2">
      <c r="A246" s="401"/>
      <c r="B246" s="401"/>
      <c r="C246" s="401"/>
      <c r="D246" s="225"/>
      <c r="E246" s="225"/>
      <c r="F246" s="225"/>
      <c r="G246" s="225"/>
      <c r="H246" s="225"/>
      <c r="I246" s="225"/>
      <c r="J246" s="401"/>
      <c r="K246" s="397"/>
      <c r="L246" s="397"/>
      <c r="M246" s="397"/>
      <c r="N246" s="225"/>
      <c r="O246" s="234"/>
      <c r="P246" s="234"/>
      <c r="AF246" s="234"/>
      <c r="AG246" s="234"/>
      <c r="AH246" s="234"/>
      <c r="AI246" s="234"/>
      <c r="AJ246" s="234"/>
      <c r="EO246" s="414"/>
      <c r="EP246" s="234"/>
      <c r="EQ246" s="415"/>
      <c r="ER246" s="276"/>
      <c r="ES246" s="415"/>
      <c r="ET246" s="415"/>
      <c r="EU246" s="277"/>
      <c r="EV246" s="277"/>
      <c r="EW246" s="414"/>
      <c r="EX246" s="234"/>
      <c r="GU246" s="415"/>
      <c r="GV246" s="276"/>
      <c r="GW246" s="415"/>
      <c r="GX246" s="415"/>
      <c r="GY246" s="277"/>
      <c r="GZ246" s="277"/>
      <c r="HA246" s="414"/>
      <c r="HB246" s="234"/>
      <c r="HC246" s="415"/>
      <c r="HD246" s="276"/>
      <c r="HE246" s="415"/>
      <c r="HF246" s="415"/>
      <c r="HG246" s="277"/>
      <c r="HH246" s="277"/>
    </row>
    <row r="247" spans="1:216" x14ac:dyDescent="0.2">
      <c r="A247" s="225"/>
      <c r="B247" s="225"/>
      <c r="C247" s="225"/>
      <c r="D247" s="225"/>
      <c r="E247" s="225"/>
      <c r="F247" s="225"/>
      <c r="G247" s="225"/>
      <c r="H247" s="225"/>
      <c r="I247" s="225"/>
      <c r="J247" s="225"/>
      <c r="K247" s="411"/>
      <c r="L247" s="411"/>
      <c r="M247" s="411"/>
      <c r="N247" s="225"/>
      <c r="O247" s="234"/>
      <c r="P247" s="234"/>
      <c r="AF247" s="234"/>
      <c r="AG247" s="234"/>
      <c r="AH247" s="234"/>
      <c r="AI247" s="234"/>
      <c r="AJ247" s="234"/>
      <c r="EO247" s="414"/>
      <c r="EP247" s="234"/>
      <c r="EQ247" s="415"/>
      <c r="ER247" s="276"/>
      <c r="ES247" s="415"/>
      <c r="ET247" s="415"/>
      <c r="EU247" s="277"/>
      <c r="EV247" s="277"/>
      <c r="EW247" s="414"/>
      <c r="EX247" s="234"/>
      <c r="GU247" s="415"/>
      <c r="GV247" s="276"/>
      <c r="GW247" s="415"/>
      <c r="GX247" s="415"/>
      <c r="GY247" s="277"/>
      <c r="GZ247" s="277"/>
      <c r="HA247" s="414"/>
      <c r="HB247" s="234"/>
      <c r="HC247" s="415"/>
      <c r="HD247" s="276"/>
      <c r="HE247" s="415"/>
      <c r="HF247" s="415"/>
      <c r="HG247" s="277"/>
      <c r="HH247" s="277"/>
    </row>
    <row r="248" spans="1:216" x14ac:dyDescent="0.2">
      <c r="A248" s="406"/>
      <c r="B248" s="406"/>
      <c r="C248" s="406"/>
      <c r="D248" s="406"/>
      <c r="E248" s="406"/>
      <c r="F248" s="406"/>
      <c r="G248" s="406"/>
      <c r="H248" s="406"/>
      <c r="I248" s="406"/>
      <c r="J248" s="406"/>
      <c r="K248" s="411"/>
      <c r="L248" s="411"/>
      <c r="M248" s="411"/>
      <c r="N248" s="406"/>
      <c r="O248" s="234"/>
      <c r="P248" s="234"/>
      <c r="AF248" s="234"/>
      <c r="AG248" s="234"/>
      <c r="AH248" s="234"/>
      <c r="AI248" s="234"/>
      <c r="AJ248" s="234"/>
      <c r="EO248" s="414"/>
      <c r="EP248" s="234"/>
      <c r="EQ248" s="415"/>
      <c r="ER248" s="276"/>
      <c r="ES248" s="415"/>
      <c r="ET248" s="415"/>
      <c r="EU248" s="277"/>
      <c r="EV248" s="277"/>
      <c r="EW248" s="414"/>
      <c r="EX248" s="234"/>
      <c r="GU248" s="415"/>
      <c r="GV248" s="276"/>
      <c r="GW248" s="415"/>
      <c r="GX248" s="415"/>
      <c r="GY248" s="277"/>
      <c r="GZ248" s="277"/>
      <c r="HA248" s="414"/>
      <c r="HB248" s="234"/>
      <c r="HC248" s="415"/>
      <c r="HD248" s="276"/>
      <c r="HE248" s="415"/>
      <c r="HF248" s="415"/>
      <c r="HG248" s="277"/>
      <c r="HH248" s="277"/>
    </row>
    <row r="249" spans="1:216" x14ac:dyDescent="0.2">
      <c r="A249" s="406"/>
      <c r="B249" s="406"/>
      <c r="C249" s="406"/>
      <c r="D249" s="406"/>
      <c r="E249" s="406"/>
      <c r="F249" s="406"/>
      <c r="G249" s="406"/>
      <c r="H249" s="406"/>
      <c r="I249" s="406"/>
      <c r="J249" s="406"/>
      <c r="K249" s="310"/>
      <c r="L249" s="310"/>
      <c r="M249" s="310"/>
      <c r="N249" s="406"/>
      <c r="O249" s="234"/>
      <c r="P249" s="234"/>
      <c r="AF249" s="234"/>
      <c r="AG249" s="234"/>
      <c r="AH249" s="234"/>
      <c r="AI249" s="234"/>
      <c r="AJ249" s="234"/>
      <c r="EO249" s="414"/>
      <c r="EP249" s="234"/>
      <c r="EQ249" s="415"/>
      <c r="ER249" s="276"/>
      <c r="ES249" s="415"/>
      <c r="ET249" s="415"/>
      <c r="EU249" s="277"/>
      <c r="EV249" s="277"/>
      <c r="EW249" s="414"/>
      <c r="EX249" s="234"/>
      <c r="GU249" s="415"/>
      <c r="GV249" s="276"/>
      <c r="GW249" s="415"/>
      <c r="GX249" s="415"/>
      <c r="GY249" s="277"/>
      <c r="GZ249" s="277"/>
      <c r="HA249" s="414"/>
      <c r="HB249" s="234"/>
      <c r="HC249" s="415"/>
      <c r="HD249" s="276"/>
      <c r="HE249" s="415"/>
      <c r="HF249" s="415"/>
      <c r="HG249" s="277"/>
      <c r="HH249" s="277"/>
    </row>
    <row r="250" spans="1:216" x14ac:dyDescent="0.2">
      <c r="A250" s="396"/>
      <c r="B250" s="396"/>
      <c r="C250" s="396"/>
      <c r="D250" s="310"/>
      <c r="E250" s="310"/>
      <c r="F250" s="310"/>
      <c r="G250" s="310"/>
      <c r="H250" s="310"/>
      <c r="I250" s="310"/>
      <c r="J250" s="396"/>
      <c r="K250" s="310"/>
      <c r="L250" s="310"/>
      <c r="M250" s="310"/>
      <c r="N250" s="310"/>
      <c r="O250" s="234"/>
      <c r="P250" s="234"/>
      <c r="AF250" s="234"/>
      <c r="AG250" s="234"/>
      <c r="AH250" s="234"/>
      <c r="AI250" s="234"/>
      <c r="AJ250" s="234"/>
      <c r="EO250" s="414"/>
      <c r="EP250" s="234"/>
      <c r="EQ250" s="415"/>
      <c r="ER250" s="276"/>
      <c r="ES250" s="415"/>
      <c r="ET250" s="415"/>
      <c r="EU250" s="277"/>
      <c r="EV250" s="277"/>
      <c r="EW250" s="414"/>
      <c r="EX250" s="234"/>
      <c r="GU250" s="415"/>
      <c r="GV250" s="276"/>
      <c r="GW250" s="415"/>
      <c r="GX250" s="415"/>
      <c r="GY250" s="277"/>
      <c r="GZ250" s="277"/>
      <c r="HA250" s="414"/>
      <c r="HB250" s="234"/>
      <c r="HC250" s="415"/>
      <c r="HD250" s="276"/>
      <c r="HE250" s="415"/>
      <c r="HF250" s="415"/>
      <c r="HG250" s="277"/>
      <c r="HH250" s="277"/>
    </row>
    <row r="251" spans="1:216" x14ac:dyDescent="0.2">
      <c r="A251" s="396"/>
      <c r="B251" s="396"/>
      <c r="C251" s="396"/>
      <c r="D251" s="310"/>
      <c r="E251" s="310"/>
      <c r="F251" s="310"/>
      <c r="G251" s="310"/>
      <c r="H251" s="310"/>
      <c r="I251" s="310"/>
      <c r="J251" s="396"/>
      <c r="K251" s="310"/>
      <c r="L251" s="310"/>
      <c r="M251" s="310"/>
      <c r="N251" s="310"/>
      <c r="O251" s="234"/>
      <c r="P251" s="234"/>
      <c r="AF251" s="234"/>
      <c r="AG251" s="234"/>
      <c r="AH251" s="234"/>
      <c r="AI251" s="234"/>
      <c r="AJ251" s="234"/>
      <c r="EO251" s="414"/>
      <c r="EP251" s="234"/>
      <c r="EQ251" s="415"/>
      <c r="ER251" s="276"/>
      <c r="ES251" s="415"/>
      <c r="ET251" s="415"/>
      <c r="EU251" s="277"/>
      <c r="EV251" s="277"/>
      <c r="EW251" s="414"/>
      <c r="EX251" s="234"/>
      <c r="GU251" s="415"/>
      <c r="GV251" s="276"/>
      <c r="GW251" s="415"/>
      <c r="GX251" s="415"/>
      <c r="GY251" s="277"/>
      <c r="GZ251" s="277"/>
      <c r="HA251" s="414"/>
      <c r="HB251" s="234"/>
      <c r="HC251" s="415"/>
      <c r="HD251" s="276"/>
      <c r="HE251" s="415"/>
      <c r="HF251" s="415"/>
      <c r="HG251" s="277"/>
      <c r="HH251" s="277"/>
    </row>
    <row r="252" spans="1:216" x14ac:dyDescent="0.2">
      <c r="A252" s="396"/>
      <c r="B252" s="396"/>
      <c r="C252" s="396"/>
      <c r="D252" s="310"/>
      <c r="E252" s="310"/>
      <c r="F252" s="310"/>
      <c r="G252" s="310"/>
      <c r="H252" s="310"/>
      <c r="I252" s="310"/>
      <c r="J252" s="396"/>
      <c r="K252" s="310"/>
      <c r="L252" s="310"/>
      <c r="M252" s="310"/>
      <c r="N252" s="310"/>
      <c r="O252" s="234"/>
      <c r="P252" s="234"/>
      <c r="AF252" s="234"/>
      <c r="AG252" s="234"/>
      <c r="AH252" s="234"/>
      <c r="AI252" s="234"/>
      <c r="AJ252" s="234"/>
      <c r="EO252" s="414"/>
      <c r="EP252" s="234"/>
      <c r="EQ252" s="415"/>
      <c r="ER252" s="276"/>
      <c r="ES252" s="415"/>
      <c r="ET252" s="415"/>
      <c r="EU252" s="277"/>
      <c r="EV252" s="277"/>
      <c r="EW252" s="414"/>
      <c r="EX252" s="234"/>
      <c r="GU252" s="415"/>
      <c r="GV252" s="276"/>
      <c r="GW252" s="415"/>
      <c r="GX252" s="415"/>
      <c r="GY252" s="277"/>
      <c r="GZ252" s="277"/>
      <c r="HA252" s="414"/>
      <c r="HB252" s="234"/>
      <c r="HC252" s="415"/>
      <c r="HD252" s="276"/>
      <c r="HE252" s="415"/>
      <c r="HF252" s="415"/>
      <c r="HG252" s="277"/>
      <c r="HH252" s="277"/>
    </row>
    <row r="253" spans="1:216" x14ac:dyDescent="0.2">
      <c r="A253" s="396"/>
      <c r="B253" s="396"/>
      <c r="C253" s="396"/>
      <c r="D253" s="310"/>
      <c r="E253" s="310"/>
      <c r="F253" s="310"/>
      <c r="G253" s="310"/>
      <c r="H253" s="310"/>
      <c r="I253" s="310"/>
      <c r="J253" s="396"/>
      <c r="K253" s="310"/>
      <c r="L253" s="310"/>
      <c r="M253" s="310"/>
      <c r="N253" s="310"/>
      <c r="O253" s="234"/>
      <c r="P253" s="234"/>
      <c r="AF253" s="234"/>
      <c r="AG253" s="234"/>
      <c r="AH253" s="234"/>
      <c r="AI253" s="234"/>
      <c r="AJ253" s="234"/>
      <c r="EO253" s="414"/>
      <c r="EP253" s="234"/>
      <c r="EQ253" s="415"/>
      <c r="ER253" s="276"/>
      <c r="ES253" s="415"/>
      <c r="ET253" s="415"/>
      <c r="EU253" s="277"/>
      <c r="EV253" s="277"/>
      <c r="EW253" s="414"/>
      <c r="EX253" s="234"/>
      <c r="GU253" s="415"/>
      <c r="GV253" s="276"/>
      <c r="GW253" s="415"/>
      <c r="GX253" s="415"/>
      <c r="GY253" s="277"/>
      <c r="GZ253" s="277"/>
      <c r="HA253" s="414"/>
      <c r="HB253" s="234"/>
      <c r="HC253" s="415"/>
      <c r="HD253" s="276"/>
      <c r="HE253" s="415"/>
      <c r="HF253" s="415"/>
      <c r="HG253" s="277"/>
      <c r="HH253" s="277"/>
    </row>
    <row r="254" spans="1:216" x14ac:dyDescent="0.2">
      <c r="A254" s="396"/>
      <c r="B254" s="396"/>
      <c r="C254" s="396"/>
      <c r="D254" s="310"/>
      <c r="E254" s="310"/>
      <c r="F254" s="310"/>
      <c r="G254" s="310"/>
      <c r="H254" s="310"/>
      <c r="I254" s="310"/>
      <c r="J254" s="396"/>
      <c r="K254" s="310"/>
      <c r="L254" s="310"/>
      <c r="M254" s="310"/>
      <c r="N254" s="310"/>
      <c r="O254" s="234"/>
      <c r="P254" s="234"/>
      <c r="AF254" s="234"/>
      <c r="AG254" s="234"/>
      <c r="AH254" s="234"/>
      <c r="AI254" s="234"/>
      <c r="AJ254" s="234"/>
      <c r="EO254" s="414"/>
      <c r="EP254" s="234"/>
      <c r="EQ254" s="415"/>
      <c r="ER254" s="276"/>
      <c r="ES254" s="415"/>
      <c r="ET254" s="415"/>
      <c r="EU254" s="277"/>
      <c r="EV254" s="277"/>
      <c r="EW254" s="414"/>
      <c r="EX254" s="234"/>
      <c r="GU254" s="415"/>
      <c r="GV254" s="276"/>
      <c r="GW254" s="415"/>
      <c r="GX254" s="415"/>
      <c r="GY254" s="277"/>
      <c r="GZ254" s="277"/>
      <c r="HA254" s="414"/>
      <c r="HB254" s="234"/>
      <c r="HC254" s="415"/>
      <c r="HD254" s="276"/>
      <c r="HE254" s="415"/>
      <c r="HF254" s="415"/>
      <c r="HG254" s="277"/>
      <c r="HH254" s="277"/>
    </row>
    <row r="255" spans="1:216" x14ac:dyDescent="0.2">
      <c r="A255" s="396"/>
      <c r="B255" s="396"/>
      <c r="C255" s="396"/>
      <c r="D255" s="310"/>
      <c r="E255" s="310"/>
      <c r="F255" s="310"/>
      <c r="G255" s="310"/>
      <c r="H255" s="310"/>
      <c r="I255" s="310"/>
      <c r="J255" s="396"/>
      <c r="K255" s="310"/>
      <c r="L255" s="310"/>
      <c r="M255" s="310"/>
      <c r="N255" s="310"/>
      <c r="O255" s="234"/>
      <c r="P255" s="234"/>
      <c r="AF255" s="234"/>
      <c r="AG255" s="234"/>
      <c r="AH255" s="234"/>
      <c r="AI255" s="234"/>
      <c r="AJ255" s="234"/>
      <c r="EO255" s="414"/>
      <c r="EP255" s="234"/>
      <c r="EQ255" s="415"/>
      <c r="ER255" s="276"/>
      <c r="ES255" s="415"/>
      <c r="ET255" s="415"/>
      <c r="EU255" s="277"/>
      <c r="EV255" s="277"/>
      <c r="EW255" s="414"/>
      <c r="EX255" s="234"/>
      <c r="GU255" s="415"/>
      <c r="GV255" s="276"/>
      <c r="GW255" s="415"/>
      <c r="GX255" s="415"/>
      <c r="GY255" s="277"/>
      <c r="GZ255" s="277"/>
      <c r="HA255" s="414"/>
      <c r="HB255" s="234"/>
      <c r="HC255" s="415"/>
      <c r="HD255" s="276"/>
      <c r="HE255" s="415"/>
      <c r="HF255" s="415"/>
      <c r="HG255" s="277"/>
      <c r="HH255" s="277"/>
    </row>
    <row r="256" spans="1:216" x14ac:dyDescent="0.2">
      <c r="A256" s="396"/>
      <c r="B256" s="396"/>
      <c r="C256" s="396"/>
      <c r="D256" s="310"/>
      <c r="E256" s="310"/>
      <c r="F256" s="310"/>
      <c r="G256" s="310"/>
      <c r="H256" s="310"/>
      <c r="I256" s="310"/>
      <c r="J256" s="396"/>
      <c r="K256" s="310"/>
      <c r="L256" s="310"/>
      <c r="M256" s="310"/>
      <c r="N256" s="310"/>
      <c r="O256" s="234"/>
      <c r="P256" s="234"/>
      <c r="AF256" s="234"/>
      <c r="AG256" s="234"/>
      <c r="AH256" s="234"/>
      <c r="AI256" s="234"/>
      <c r="AJ256" s="234"/>
      <c r="EO256" s="414"/>
      <c r="EP256" s="234"/>
      <c r="EQ256" s="415"/>
      <c r="ER256" s="276"/>
      <c r="ES256" s="415"/>
      <c r="ET256" s="415"/>
      <c r="EU256" s="277"/>
      <c r="EV256" s="277"/>
      <c r="EW256" s="414"/>
      <c r="EX256" s="234"/>
      <c r="GU256" s="415"/>
      <c r="GV256" s="276"/>
      <c r="GW256" s="415"/>
      <c r="GX256" s="415"/>
      <c r="GY256" s="277"/>
      <c r="GZ256" s="277"/>
      <c r="HA256" s="414"/>
      <c r="HB256" s="234"/>
      <c r="HC256" s="415"/>
      <c r="HD256" s="276"/>
      <c r="HE256" s="415"/>
      <c r="HF256" s="415"/>
      <c r="HG256" s="277"/>
      <c r="HH256" s="277"/>
    </row>
    <row r="257" spans="1:216" x14ac:dyDescent="0.2">
      <c r="A257" s="396"/>
      <c r="B257" s="396"/>
      <c r="C257" s="396"/>
      <c r="D257" s="310"/>
      <c r="E257" s="310"/>
      <c r="F257" s="310"/>
      <c r="G257" s="310"/>
      <c r="H257" s="310"/>
      <c r="I257" s="310"/>
      <c r="J257" s="396"/>
      <c r="K257" s="310"/>
      <c r="L257" s="310"/>
      <c r="M257" s="310"/>
      <c r="N257" s="310"/>
      <c r="O257" s="234"/>
      <c r="P257" s="234"/>
      <c r="AF257" s="234"/>
      <c r="AG257" s="234"/>
      <c r="AH257" s="234"/>
      <c r="AI257" s="234"/>
      <c r="AJ257" s="234"/>
      <c r="EO257" s="414"/>
      <c r="EP257" s="234"/>
      <c r="EQ257" s="415"/>
      <c r="ER257" s="276"/>
      <c r="ES257" s="415"/>
      <c r="ET257" s="415"/>
      <c r="EU257" s="277"/>
      <c r="EV257" s="277"/>
      <c r="EW257" s="414"/>
      <c r="EX257" s="234"/>
      <c r="GU257" s="415"/>
      <c r="GV257" s="276"/>
      <c r="GW257" s="415"/>
      <c r="GX257" s="415"/>
      <c r="GY257" s="277"/>
      <c r="GZ257" s="277"/>
      <c r="HA257" s="414"/>
      <c r="HB257" s="234"/>
      <c r="HC257" s="415"/>
      <c r="HD257" s="276"/>
      <c r="HE257" s="415"/>
      <c r="HF257" s="415"/>
      <c r="HG257" s="277"/>
      <c r="HH257" s="277"/>
    </row>
    <row r="258" spans="1:216" x14ac:dyDescent="0.2">
      <c r="A258" s="396"/>
      <c r="B258" s="396"/>
      <c r="C258" s="396"/>
      <c r="D258" s="310"/>
      <c r="E258" s="310"/>
      <c r="F258" s="310"/>
      <c r="G258" s="310"/>
      <c r="H258" s="310"/>
      <c r="I258" s="310"/>
      <c r="J258" s="396"/>
      <c r="K258" s="310"/>
      <c r="L258" s="310"/>
      <c r="M258" s="310"/>
      <c r="N258" s="310"/>
      <c r="O258" s="234"/>
      <c r="P258" s="234"/>
      <c r="AF258" s="234"/>
      <c r="AG258" s="234"/>
      <c r="AH258" s="234"/>
      <c r="AI258" s="234"/>
      <c r="AJ258" s="234"/>
      <c r="EO258" s="414"/>
      <c r="EP258" s="234"/>
      <c r="EQ258" s="415"/>
      <c r="ER258" s="276"/>
      <c r="ES258" s="415"/>
      <c r="ET258" s="415"/>
      <c r="EU258" s="277"/>
      <c r="EV258" s="277"/>
      <c r="EW258" s="414"/>
      <c r="EX258" s="234"/>
      <c r="GU258" s="415"/>
      <c r="GV258" s="276"/>
      <c r="GW258" s="415"/>
      <c r="GX258" s="415"/>
      <c r="GY258" s="277"/>
      <c r="GZ258" s="277"/>
      <c r="HA258" s="414"/>
      <c r="HB258" s="234"/>
      <c r="HC258" s="415"/>
      <c r="HD258" s="276"/>
      <c r="HE258" s="415"/>
      <c r="HF258" s="415"/>
      <c r="HG258" s="277"/>
      <c r="HH258" s="277"/>
    </row>
    <row r="259" spans="1:216" x14ac:dyDescent="0.2">
      <c r="A259" s="396"/>
      <c r="B259" s="396"/>
      <c r="C259" s="396"/>
      <c r="D259" s="310"/>
      <c r="E259" s="310"/>
      <c r="F259" s="310"/>
      <c r="G259" s="310"/>
      <c r="H259" s="310"/>
      <c r="I259" s="310"/>
      <c r="J259" s="396"/>
      <c r="K259" s="310"/>
      <c r="L259" s="310"/>
      <c r="M259" s="310"/>
      <c r="N259" s="310"/>
      <c r="O259" s="234"/>
      <c r="P259" s="234"/>
      <c r="AF259" s="234"/>
      <c r="AG259" s="234"/>
      <c r="AH259" s="234"/>
      <c r="AI259" s="234"/>
      <c r="AJ259" s="234"/>
      <c r="EO259" s="414"/>
      <c r="EP259" s="234"/>
      <c r="EQ259" s="415"/>
      <c r="ER259" s="276"/>
      <c r="ES259" s="415"/>
      <c r="ET259" s="415"/>
      <c r="EU259" s="277"/>
      <c r="EV259" s="277"/>
      <c r="EW259" s="414"/>
      <c r="EX259" s="234"/>
      <c r="GU259" s="415"/>
      <c r="GV259" s="276"/>
      <c r="GW259" s="415"/>
      <c r="GX259" s="415"/>
      <c r="GY259" s="277"/>
      <c r="GZ259" s="277"/>
      <c r="HA259" s="414"/>
      <c r="HB259" s="234"/>
      <c r="HC259" s="415"/>
      <c r="HD259" s="276"/>
      <c r="HE259" s="415"/>
      <c r="HF259" s="415"/>
      <c r="HG259" s="277"/>
      <c r="HH259" s="277"/>
    </row>
    <row r="260" spans="1:216" x14ac:dyDescent="0.2">
      <c r="A260" s="396"/>
      <c r="B260" s="396"/>
      <c r="C260" s="396"/>
      <c r="D260" s="310"/>
      <c r="E260" s="310"/>
      <c r="F260" s="310"/>
      <c r="G260" s="310"/>
      <c r="H260" s="310"/>
      <c r="I260" s="310"/>
      <c r="J260" s="396"/>
      <c r="K260" s="310"/>
      <c r="L260" s="310"/>
      <c r="M260" s="310"/>
      <c r="N260" s="310"/>
      <c r="O260" s="234"/>
      <c r="P260" s="234"/>
      <c r="AF260" s="234"/>
      <c r="AG260" s="234"/>
      <c r="AH260" s="234"/>
      <c r="AI260" s="234"/>
      <c r="AJ260" s="234"/>
      <c r="EO260" s="414"/>
      <c r="EP260" s="234"/>
      <c r="EQ260" s="415"/>
      <c r="ER260" s="276"/>
      <c r="ES260" s="415"/>
      <c r="ET260" s="415"/>
      <c r="EU260" s="277"/>
      <c r="EV260" s="277"/>
      <c r="EW260" s="414"/>
      <c r="EX260" s="234"/>
      <c r="GU260" s="415"/>
      <c r="GV260" s="276"/>
      <c r="GW260" s="415"/>
      <c r="GX260" s="415"/>
      <c r="GY260" s="277"/>
      <c r="GZ260" s="277"/>
      <c r="HA260" s="414"/>
      <c r="HB260" s="234"/>
      <c r="HC260" s="415"/>
      <c r="HD260" s="276"/>
      <c r="HE260" s="415"/>
      <c r="HF260" s="415"/>
      <c r="HG260" s="277"/>
      <c r="HH260" s="277"/>
    </row>
    <row r="261" spans="1:216" x14ac:dyDescent="0.2">
      <c r="A261" s="396"/>
      <c r="B261" s="396"/>
      <c r="C261" s="396"/>
      <c r="D261" s="310"/>
      <c r="E261" s="310"/>
      <c r="F261" s="310"/>
      <c r="G261" s="310"/>
      <c r="H261" s="310"/>
      <c r="I261" s="310"/>
      <c r="J261" s="396"/>
      <c r="K261" s="310"/>
      <c r="L261" s="310"/>
      <c r="M261" s="310"/>
      <c r="N261" s="310"/>
      <c r="O261" s="234"/>
      <c r="P261" s="234"/>
      <c r="AF261" s="234"/>
      <c r="AG261" s="234"/>
      <c r="AH261" s="234"/>
      <c r="AI261" s="234"/>
      <c r="AJ261" s="234"/>
      <c r="EO261" s="234"/>
      <c r="EP261" s="234"/>
      <c r="EQ261" s="234"/>
      <c r="ER261" s="234"/>
      <c r="ES261" s="234"/>
      <c r="ET261" s="234"/>
      <c r="EU261" s="234"/>
      <c r="EV261" s="234"/>
      <c r="EW261" s="234"/>
      <c r="EX261" s="234"/>
      <c r="GU261" s="415"/>
      <c r="GV261" s="276"/>
      <c r="GW261" s="415"/>
      <c r="GX261" s="415"/>
      <c r="GY261" s="277"/>
      <c r="GZ261" s="277"/>
      <c r="HA261" s="414"/>
      <c r="HB261" s="234"/>
      <c r="HC261" s="415"/>
      <c r="HD261" s="276"/>
      <c r="HE261" s="415"/>
      <c r="HF261" s="415"/>
      <c r="HG261" s="277"/>
      <c r="HH261" s="277"/>
    </row>
    <row r="262" spans="1:216" x14ac:dyDescent="0.2">
      <c r="A262" s="396"/>
      <c r="B262" s="396"/>
      <c r="C262" s="396"/>
      <c r="D262" s="310"/>
      <c r="E262" s="310"/>
      <c r="F262" s="310"/>
      <c r="G262" s="310"/>
      <c r="H262" s="310"/>
      <c r="I262" s="310"/>
      <c r="J262" s="396"/>
      <c r="K262" s="310"/>
      <c r="L262" s="310"/>
      <c r="M262" s="310"/>
      <c r="N262" s="310"/>
      <c r="O262" s="234"/>
      <c r="P262" s="234"/>
      <c r="AF262" s="234"/>
      <c r="AG262" s="234"/>
      <c r="AH262" s="234"/>
      <c r="AI262" s="234"/>
      <c r="AJ262" s="234"/>
      <c r="EO262" s="234"/>
      <c r="EP262" s="234"/>
      <c r="EQ262" s="234"/>
      <c r="ER262" s="234"/>
      <c r="ES262" s="234"/>
      <c r="ET262" s="234"/>
      <c r="EU262" s="234"/>
      <c r="EV262" s="234"/>
      <c r="EW262" s="234"/>
      <c r="EX262" s="234"/>
      <c r="GU262" s="234"/>
      <c r="GV262" s="234"/>
      <c r="GW262" s="234"/>
      <c r="GX262" s="234"/>
      <c r="GY262" s="234"/>
      <c r="GZ262" s="234"/>
      <c r="HA262" s="234"/>
      <c r="HB262" s="234"/>
      <c r="HC262" s="234"/>
      <c r="HD262" s="234"/>
      <c r="HE262" s="234"/>
      <c r="HF262" s="234"/>
      <c r="HG262" s="234"/>
      <c r="HH262" s="234"/>
    </row>
    <row r="263" spans="1:216" x14ac:dyDescent="0.2">
      <c r="A263" s="396"/>
      <c r="B263" s="396"/>
      <c r="C263" s="396"/>
      <c r="D263" s="310"/>
      <c r="E263" s="310"/>
      <c r="F263" s="310"/>
      <c r="G263" s="310"/>
      <c r="H263" s="310"/>
      <c r="I263" s="310"/>
      <c r="J263" s="396"/>
      <c r="K263" s="310"/>
      <c r="L263" s="310"/>
      <c r="M263" s="310"/>
      <c r="N263" s="310"/>
      <c r="O263" s="234"/>
      <c r="P263" s="234"/>
      <c r="AF263" s="234"/>
      <c r="AG263" s="234"/>
      <c r="AH263" s="234"/>
      <c r="AI263" s="234"/>
      <c r="AJ263" s="234"/>
      <c r="EO263" s="234"/>
      <c r="EP263" s="234"/>
      <c r="EQ263" s="234"/>
      <c r="ER263" s="234"/>
      <c r="ES263" s="234"/>
      <c r="ET263" s="234"/>
      <c r="EU263" s="234"/>
      <c r="EV263" s="234"/>
      <c r="EW263" s="234"/>
      <c r="EX263" s="234"/>
      <c r="GU263" s="234"/>
      <c r="GV263" s="234"/>
      <c r="GW263" s="234"/>
      <c r="GX263" s="234"/>
      <c r="GY263" s="234"/>
      <c r="GZ263" s="234"/>
      <c r="HA263" s="234"/>
      <c r="HB263" s="234"/>
      <c r="HC263" s="234"/>
      <c r="HD263" s="234"/>
      <c r="HE263" s="234"/>
      <c r="HF263" s="234"/>
      <c r="HG263" s="234"/>
      <c r="HH263" s="234"/>
    </row>
    <row r="264" spans="1:216" x14ac:dyDescent="0.2">
      <c r="A264" s="396"/>
      <c r="B264" s="396"/>
      <c r="C264" s="396"/>
      <c r="D264" s="310"/>
      <c r="E264" s="310"/>
      <c r="F264" s="310"/>
      <c r="G264" s="310"/>
      <c r="H264" s="310"/>
      <c r="I264" s="310"/>
      <c r="J264" s="396"/>
      <c r="K264" s="310"/>
      <c r="L264" s="310"/>
      <c r="M264" s="310"/>
      <c r="N264" s="310"/>
      <c r="O264" s="234"/>
      <c r="P264" s="234"/>
      <c r="AF264" s="234"/>
      <c r="AG264" s="234"/>
      <c r="AH264" s="234"/>
      <c r="AI264" s="234"/>
      <c r="AJ264" s="234"/>
      <c r="EO264" s="234"/>
      <c r="EP264" s="234"/>
      <c r="EQ264" s="234"/>
      <c r="ER264" s="234"/>
      <c r="ES264" s="234"/>
      <c r="ET264" s="234"/>
      <c r="EU264" s="234"/>
      <c r="EV264" s="234"/>
      <c r="EW264" s="234"/>
      <c r="EX264" s="234"/>
      <c r="GU264" s="234"/>
      <c r="GV264" s="234"/>
      <c r="GW264" s="234"/>
      <c r="GX264" s="234"/>
      <c r="GY264" s="234"/>
      <c r="GZ264" s="234"/>
      <c r="HA264" s="234"/>
      <c r="HB264" s="234"/>
      <c r="HC264" s="234"/>
      <c r="HD264" s="234"/>
      <c r="HE264" s="234"/>
      <c r="HF264" s="234"/>
      <c r="HG264" s="234"/>
      <c r="HH264" s="234"/>
    </row>
    <row r="265" spans="1:216" x14ac:dyDescent="0.2">
      <c r="A265" s="396"/>
      <c r="B265" s="396"/>
      <c r="C265" s="396"/>
      <c r="D265" s="310"/>
      <c r="E265" s="310"/>
      <c r="F265" s="310"/>
      <c r="G265" s="310"/>
      <c r="H265" s="310"/>
      <c r="I265" s="310"/>
      <c r="J265" s="396"/>
      <c r="K265" s="310"/>
      <c r="L265" s="310"/>
      <c r="M265" s="310"/>
      <c r="N265" s="310"/>
      <c r="O265" s="234"/>
      <c r="P265" s="234"/>
      <c r="AF265" s="234"/>
      <c r="AG265" s="234"/>
      <c r="AH265" s="234"/>
      <c r="AI265" s="234"/>
      <c r="AJ265" s="234"/>
      <c r="EO265" s="234"/>
      <c r="EP265" s="234"/>
      <c r="EQ265" s="234"/>
      <c r="ER265" s="234"/>
      <c r="ES265" s="234"/>
      <c r="ET265" s="234"/>
      <c r="EU265" s="234"/>
      <c r="EV265" s="234"/>
      <c r="EW265" s="234"/>
      <c r="EX265" s="234"/>
      <c r="GU265" s="234"/>
      <c r="GV265" s="234"/>
      <c r="GW265" s="234"/>
      <c r="GX265" s="234"/>
      <c r="GY265" s="234"/>
      <c r="GZ265" s="234"/>
      <c r="HA265" s="234"/>
      <c r="HB265" s="234"/>
      <c r="HC265" s="234"/>
      <c r="HD265" s="234"/>
      <c r="HE265" s="234"/>
      <c r="HF265" s="234"/>
      <c r="HG265" s="234"/>
      <c r="HH265" s="234"/>
    </row>
    <row r="266" spans="1:216" x14ac:dyDescent="0.2">
      <c r="A266" s="396"/>
      <c r="B266" s="396"/>
      <c r="C266" s="396"/>
      <c r="D266" s="310"/>
      <c r="E266" s="310"/>
      <c r="F266" s="310"/>
      <c r="G266" s="310"/>
      <c r="H266" s="310"/>
      <c r="I266" s="310"/>
      <c r="J266" s="396"/>
      <c r="K266" s="310"/>
      <c r="L266" s="310"/>
      <c r="M266" s="310"/>
      <c r="N266" s="310"/>
      <c r="O266" s="234"/>
      <c r="P266" s="234"/>
      <c r="AF266" s="234"/>
      <c r="AG266" s="234"/>
      <c r="AH266" s="234"/>
      <c r="AI266" s="234"/>
      <c r="AJ266" s="234"/>
      <c r="EO266" s="234"/>
      <c r="EP266" s="234"/>
      <c r="EQ266" s="234"/>
      <c r="ER266" s="234"/>
      <c r="ES266" s="234"/>
      <c r="ET266" s="234"/>
      <c r="EU266" s="234"/>
      <c r="EV266" s="234"/>
      <c r="EW266" s="234"/>
      <c r="EX266" s="234"/>
      <c r="GU266" s="234"/>
      <c r="GV266" s="234"/>
      <c r="GW266" s="234"/>
      <c r="GX266" s="234"/>
      <c r="GY266" s="234"/>
      <c r="GZ266" s="234"/>
      <c r="HA266" s="234"/>
      <c r="HB266" s="234"/>
      <c r="HC266" s="234"/>
      <c r="HD266" s="234"/>
      <c r="HE266" s="234"/>
      <c r="HF266" s="234"/>
      <c r="HG266" s="234"/>
      <c r="HH266" s="234"/>
    </row>
    <row r="267" spans="1:216" x14ac:dyDescent="0.2">
      <c r="A267" s="396"/>
      <c r="B267" s="396"/>
      <c r="C267" s="396"/>
      <c r="D267" s="310"/>
      <c r="E267" s="310"/>
      <c r="F267" s="310"/>
      <c r="G267" s="310"/>
      <c r="H267" s="310"/>
      <c r="I267" s="310"/>
      <c r="J267" s="396"/>
      <c r="K267" s="397"/>
      <c r="L267" s="397"/>
      <c r="M267" s="397"/>
      <c r="N267" s="310"/>
      <c r="O267" s="234"/>
      <c r="P267" s="234"/>
      <c r="AF267" s="234"/>
      <c r="AG267" s="234"/>
      <c r="AH267" s="234"/>
      <c r="AI267" s="234"/>
      <c r="AJ267" s="234"/>
      <c r="EO267" s="234"/>
      <c r="EP267" s="234"/>
      <c r="EQ267" s="234"/>
      <c r="ER267" s="234"/>
      <c r="ES267" s="234"/>
      <c r="ET267" s="234"/>
      <c r="EU267" s="234"/>
      <c r="EV267" s="234"/>
      <c r="EW267" s="234"/>
      <c r="EX267" s="234"/>
      <c r="GU267" s="234"/>
      <c r="GV267" s="234"/>
      <c r="GW267" s="234"/>
      <c r="GX267" s="234"/>
      <c r="GY267" s="234"/>
      <c r="GZ267" s="234"/>
      <c r="HA267" s="234"/>
      <c r="HB267" s="234"/>
      <c r="HC267" s="234"/>
      <c r="HD267" s="234"/>
      <c r="HE267" s="234"/>
      <c r="HF267" s="234"/>
      <c r="HG267" s="234"/>
      <c r="HH267" s="234"/>
    </row>
    <row r="268" spans="1:216" x14ac:dyDescent="0.2">
      <c r="A268" s="396"/>
      <c r="B268" s="396"/>
      <c r="C268" s="396"/>
      <c r="D268" s="310"/>
      <c r="E268" s="310"/>
      <c r="F268" s="310"/>
      <c r="G268" s="310"/>
      <c r="H268" s="310"/>
      <c r="I268" s="310"/>
      <c r="J268" s="225"/>
      <c r="K268" s="397"/>
      <c r="L268" s="397"/>
      <c r="M268" s="397"/>
      <c r="N268" s="225"/>
      <c r="O268" s="234"/>
      <c r="P268" s="234"/>
      <c r="AF268" s="234"/>
      <c r="AG268" s="234"/>
      <c r="AH268" s="234"/>
      <c r="AI268" s="234"/>
      <c r="AJ268" s="234"/>
      <c r="EO268" s="234"/>
      <c r="EP268" s="234"/>
      <c r="EQ268" s="234"/>
      <c r="ER268" s="234"/>
      <c r="ES268" s="234"/>
      <c r="ET268" s="234"/>
      <c r="EU268" s="234"/>
      <c r="EV268" s="234"/>
      <c r="EW268" s="234"/>
      <c r="EX268" s="234"/>
      <c r="GU268" s="234"/>
      <c r="GV268" s="234"/>
      <c r="GW268" s="234"/>
      <c r="GX268" s="234"/>
      <c r="GY268" s="234"/>
      <c r="GZ268" s="234"/>
      <c r="HA268" s="234"/>
      <c r="HB268" s="234"/>
      <c r="HC268" s="234"/>
      <c r="HD268" s="234"/>
      <c r="HE268" s="234"/>
      <c r="HF268" s="234"/>
      <c r="HG268" s="234"/>
      <c r="HH268" s="234"/>
    </row>
    <row r="269" spans="1:216" x14ac:dyDescent="0.2">
      <c r="A269" s="396"/>
      <c r="B269" s="396"/>
      <c r="C269" s="396"/>
      <c r="D269" s="310"/>
      <c r="E269" s="310"/>
      <c r="F269" s="310"/>
      <c r="G269" s="310"/>
      <c r="H269" s="310"/>
      <c r="I269" s="310"/>
      <c r="J269" s="225"/>
      <c r="K269" s="397"/>
      <c r="L269" s="397"/>
      <c r="M269" s="397"/>
      <c r="N269" s="225"/>
      <c r="O269" s="234"/>
      <c r="P269" s="234"/>
      <c r="AF269" s="234"/>
      <c r="AG269" s="234"/>
      <c r="AH269" s="234"/>
      <c r="AI269" s="234"/>
      <c r="AJ269" s="234"/>
      <c r="EO269" s="234"/>
      <c r="EP269" s="234"/>
      <c r="EQ269" s="234"/>
      <c r="ER269" s="234"/>
      <c r="ES269" s="234"/>
      <c r="ET269" s="234"/>
      <c r="EU269" s="234"/>
      <c r="EV269" s="234"/>
      <c r="EW269" s="234"/>
      <c r="EX269" s="234"/>
      <c r="GU269" s="234"/>
      <c r="GV269" s="234"/>
      <c r="GW269" s="234"/>
      <c r="GX269" s="234"/>
      <c r="GY269" s="234"/>
      <c r="GZ269" s="234"/>
      <c r="HA269" s="234"/>
      <c r="HB269" s="234"/>
      <c r="HC269" s="234"/>
      <c r="HD269" s="234"/>
      <c r="HE269" s="234"/>
      <c r="HF269" s="234"/>
      <c r="HG269" s="234"/>
      <c r="HH269" s="234"/>
    </row>
    <row r="270" spans="1:216" x14ac:dyDescent="0.2">
      <c r="A270" s="396"/>
      <c r="B270" s="396"/>
      <c r="C270" s="396"/>
      <c r="D270" s="310"/>
      <c r="E270" s="310"/>
      <c r="F270" s="310"/>
      <c r="G270" s="310"/>
      <c r="H270" s="310"/>
      <c r="I270" s="310"/>
      <c r="J270" s="225"/>
      <c r="K270" s="397"/>
      <c r="L270" s="397"/>
      <c r="M270" s="397"/>
      <c r="N270" s="225"/>
      <c r="O270" s="234"/>
      <c r="P270" s="234"/>
      <c r="AF270" s="234"/>
      <c r="AG270" s="234"/>
      <c r="AH270" s="234"/>
      <c r="AI270" s="234"/>
      <c r="AJ270" s="234"/>
      <c r="EO270" s="234"/>
      <c r="EP270" s="234"/>
      <c r="EQ270" s="234"/>
      <c r="ER270" s="234"/>
      <c r="ES270" s="234"/>
      <c r="ET270" s="234"/>
      <c r="EU270" s="234"/>
      <c r="EV270" s="234"/>
      <c r="EW270" s="234"/>
      <c r="EX270" s="234"/>
      <c r="GU270" s="234"/>
      <c r="GV270" s="234"/>
      <c r="GW270" s="234"/>
      <c r="GX270" s="234"/>
      <c r="GY270" s="234"/>
      <c r="GZ270" s="234"/>
      <c r="HA270" s="234"/>
      <c r="HB270" s="234"/>
      <c r="HC270" s="234"/>
      <c r="HD270" s="234"/>
      <c r="HE270" s="234"/>
      <c r="HF270" s="234"/>
      <c r="HG270" s="234"/>
      <c r="HH270" s="234"/>
    </row>
    <row r="271" spans="1:216" x14ac:dyDescent="0.2">
      <c r="A271" s="225"/>
      <c r="B271" s="225"/>
      <c r="C271" s="225"/>
      <c r="D271" s="225"/>
      <c r="E271" s="225"/>
      <c r="F271" s="225"/>
      <c r="G271" s="225"/>
      <c r="H271" s="225"/>
      <c r="I271" s="225"/>
      <c r="J271" s="225"/>
      <c r="K271" s="399"/>
      <c r="L271" s="399"/>
      <c r="M271" s="397"/>
      <c r="N271" s="225"/>
      <c r="O271" s="234"/>
      <c r="P271" s="234"/>
      <c r="AF271" s="234"/>
      <c r="AG271" s="234"/>
      <c r="AH271" s="234"/>
      <c r="AI271" s="234"/>
      <c r="AJ271" s="234"/>
      <c r="EO271" s="234"/>
      <c r="EP271" s="234"/>
      <c r="EQ271" s="234"/>
      <c r="ER271" s="234"/>
      <c r="ES271" s="234"/>
      <c r="ET271" s="234"/>
      <c r="EU271" s="234"/>
      <c r="EV271" s="234"/>
      <c r="EW271" s="234"/>
      <c r="EX271" s="234"/>
      <c r="GU271" s="234"/>
      <c r="GV271" s="234"/>
      <c r="GW271" s="234"/>
      <c r="GX271" s="234"/>
      <c r="GY271" s="234"/>
      <c r="GZ271" s="234"/>
      <c r="HA271" s="234"/>
      <c r="HB271" s="234"/>
      <c r="HC271" s="234"/>
      <c r="HD271" s="234"/>
      <c r="HE271" s="234"/>
      <c r="HF271" s="234"/>
      <c r="HG271" s="234"/>
      <c r="HH271" s="234"/>
    </row>
    <row r="272" spans="1:216" x14ac:dyDescent="0.2">
      <c r="A272" s="401"/>
      <c r="B272" s="401"/>
      <c r="C272" s="401"/>
      <c r="D272" s="225"/>
      <c r="E272" s="225"/>
      <c r="F272" s="225"/>
      <c r="G272" s="225"/>
      <c r="H272" s="225"/>
      <c r="I272" s="225"/>
      <c r="J272" s="401"/>
      <c r="K272" s="399"/>
      <c r="L272" s="399"/>
      <c r="M272" s="397"/>
      <c r="N272" s="225"/>
      <c r="O272" s="234"/>
      <c r="P272" s="234"/>
      <c r="AF272" s="234"/>
      <c r="AG272" s="234"/>
      <c r="AH272" s="234"/>
      <c r="AI272" s="234"/>
      <c r="AJ272" s="234"/>
      <c r="EO272" s="234"/>
      <c r="EP272" s="234"/>
      <c r="EQ272" s="234"/>
      <c r="ER272" s="234"/>
      <c r="ES272" s="234"/>
      <c r="ET272" s="234"/>
      <c r="EU272" s="234"/>
      <c r="EV272" s="234"/>
      <c r="EW272" s="234"/>
      <c r="EX272" s="234"/>
      <c r="GU272" s="234"/>
      <c r="GV272" s="234"/>
      <c r="GW272" s="234"/>
      <c r="GX272" s="234"/>
      <c r="GY272" s="234"/>
      <c r="GZ272" s="234"/>
      <c r="HA272" s="234"/>
      <c r="HB272" s="234"/>
      <c r="HC272" s="234"/>
      <c r="HD272" s="234"/>
      <c r="HE272" s="234"/>
      <c r="HF272" s="234"/>
      <c r="HG272" s="234"/>
      <c r="HH272" s="234"/>
    </row>
    <row r="273" spans="1:216" x14ac:dyDescent="0.2">
      <c r="A273" s="401"/>
      <c r="B273" s="401"/>
      <c r="C273" s="401"/>
      <c r="D273" s="225"/>
      <c r="E273" s="225"/>
      <c r="F273" s="225"/>
      <c r="G273" s="225"/>
      <c r="H273" s="225"/>
      <c r="I273" s="225"/>
      <c r="J273" s="401"/>
      <c r="K273" s="397"/>
      <c r="L273" s="397"/>
      <c r="M273" s="397"/>
      <c r="N273" s="225"/>
      <c r="O273" s="234"/>
      <c r="P273" s="234"/>
      <c r="AF273" s="234"/>
      <c r="AG273" s="234"/>
      <c r="AH273" s="234"/>
      <c r="AI273" s="234"/>
      <c r="AJ273" s="234"/>
      <c r="EO273" s="234"/>
      <c r="EP273" s="234"/>
      <c r="EQ273" s="234"/>
      <c r="ER273" s="234"/>
      <c r="ES273" s="234"/>
      <c r="ET273" s="234"/>
      <c r="EU273" s="234"/>
      <c r="EV273" s="234"/>
      <c r="EW273" s="234"/>
      <c r="EX273" s="234"/>
      <c r="GU273" s="234"/>
      <c r="GV273" s="234"/>
      <c r="GW273" s="234"/>
      <c r="GX273" s="234"/>
      <c r="GY273" s="234"/>
      <c r="GZ273" s="234"/>
      <c r="HA273" s="234"/>
      <c r="HB273" s="234"/>
      <c r="HC273" s="234"/>
      <c r="HD273" s="234"/>
      <c r="HE273" s="234"/>
      <c r="HF273" s="234"/>
      <c r="HG273" s="234"/>
      <c r="HH273" s="234"/>
    </row>
    <row r="274" spans="1:216" x14ac:dyDescent="0.2">
      <c r="A274" s="225"/>
      <c r="B274" s="225"/>
      <c r="C274" s="225"/>
      <c r="D274" s="225"/>
      <c r="E274" s="225"/>
      <c r="F274" s="225"/>
      <c r="G274" s="225"/>
      <c r="H274" s="225"/>
      <c r="I274" s="225"/>
      <c r="J274" s="225"/>
      <c r="K274" s="411"/>
      <c r="L274" s="411"/>
      <c r="M274" s="411"/>
      <c r="N274" s="225"/>
      <c r="O274" s="234"/>
      <c r="P274" s="234"/>
      <c r="AF274" s="234"/>
      <c r="AG274" s="234"/>
      <c r="AH274" s="234"/>
      <c r="AI274" s="234"/>
      <c r="AJ274" s="234"/>
      <c r="EO274" s="234"/>
      <c r="EP274" s="234"/>
      <c r="EQ274" s="234"/>
      <c r="ER274" s="234"/>
      <c r="ES274" s="234"/>
      <c r="ET274" s="234"/>
      <c r="EU274" s="234"/>
      <c r="EV274" s="234"/>
      <c r="EW274" s="234"/>
      <c r="EX274" s="234"/>
      <c r="GU274" s="234"/>
      <c r="GV274" s="234"/>
      <c r="GW274" s="234"/>
      <c r="GX274" s="234"/>
      <c r="GY274" s="234"/>
      <c r="GZ274" s="234"/>
      <c r="HA274" s="234"/>
      <c r="HB274" s="234"/>
      <c r="HC274" s="234"/>
      <c r="HD274" s="234"/>
      <c r="HE274" s="234"/>
      <c r="HF274" s="234"/>
      <c r="HG274" s="234"/>
      <c r="HH274" s="234"/>
    </row>
    <row r="275" spans="1:216" x14ac:dyDescent="0.2">
      <c r="A275" s="406"/>
      <c r="B275" s="406"/>
      <c r="C275" s="406"/>
      <c r="D275" s="406"/>
      <c r="E275" s="406"/>
      <c r="F275" s="406"/>
      <c r="G275" s="406"/>
      <c r="H275" s="406"/>
      <c r="I275" s="406"/>
      <c r="J275" s="406"/>
      <c r="K275" s="411"/>
      <c r="L275" s="411"/>
      <c r="M275" s="411"/>
      <c r="N275" s="406"/>
      <c r="O275" s="234"/>
      <c r="P275" s="234"/>
      <c r="AF275" s="234"/>
      <c r="AG275" s="234"/>
      <c r="AH275" s="234"/>
      <c r="AI275" s="234"/>
      <c r="AJ275" s="234"/>
      <c r="EO275" s="234"/>
      <c r="EP275" s="234"/>
      <c r="EQ275" s="234"/>
      <c r="ER275" s="234"/>
      <c r="ES275" s="234"/>
      <c r="ET275" s="234"/>
      <c r="EU275" s="234"/>
      <c r="EV275" s="234"/>
      <c r="EW275" s="234"/>
      <c r="EX275" s="234"/>
      <c r="GU275" s="234"/>
      <c r="GV275" s="234"/>
      <c r="GW275" s="234"/>
      <c r="GX275" s="234"/>
      <c r="GY275" s="234"/>
      <c r="GZ275" s="234"/>
      <c r="HA275" s="234"/>
      <c r="HB275" s="234"/>
      <c r="HC275" s="234"/>
      <c r="HD275" s="234"/>
      <c r="HE275" s="234"/>
      <c r="HF275" s="234"/>
      <c r="HG275" s="234"/>
      <c r="HH275" s="234"/>
    </row>
    <row r="276" spans="1:216" x14ac:dyDescent="0.2">
      <c r="A276" s="406"/>
      <c r="B276" s="406"/>
      <c r="C276" s="406"/>
      <c r="D276" s="406"/>
      <c r="E276" s="406"/>
      <c r="F276" s="406"/>
      <c r="G276" s="406"/>
      <c r="H276" s="406"/>
      <c r="I276" s="406"/>
      <c r="J276" s="406"/>
      <c r="K276" s="310"/>
      <c r="L276" s="310"/>
      <c r="M276" s="310"/>
      <c r="N276" s="406"/>
      <c r="O276" s="234"/>
      <c r="P276" s="234"/>
      <c r="AF276" s="234"/>
      <c r="AG276" s="234"/>
      <c r="AH276" s="234"/>
      <c r="AI276" s="234"/>
      <c r="AJ276" s="234"/>
      <c r="EO276" s="234"/>
      <c r="EP276" s="234"/>
      <c r="EQ276" s="234"/>
      <c r="ER276" s="234"/>
      <c r="ES276" s="234"/>
      <c r="ET276" s="234"/>
      <c r="EU276" s="234"/>
      <c r="EV276" s="234"/>
      <c r="EW276" s="234"/>
      <c r="EX276" s="234"/>
      <c r="GU276" s="234"/>
      <c r="GV276" s="234"/>
      <c r="GW276" s="234"/>
      <c r="GX276" s="234"/>
      <c r="GY276" s="234"/>
      <c r="GZ276" s="234"/>
      <c r="HA276" s="234"/>
      <c r="HB276" s="234"/>
      <c r="HC276" s="234"/>
      <c r="HD276" s="234"/>
      <c r="HE276" s="234"/>
      <c r="HF276" s="234"/>
      <c r="HG276" s="234"/>
      <c r="HH276" s="234"/>
    </row>
    <row r="277" spans="1:216" x14ac:dyDescent="0.2">
      <c r="A277" s="396"/>
      <c r="B277" s="396"/>
      <c r="C277" s="396"/>
      <c r="D277" s="310"/>
      <c r="E277" s="310"/>
      <c r="F277" s="310"/>
      <c r="G277" s="310"/>
      <c r="H277" s="310"/>
      <c r="I277" s="310"/>
      <c r="J277" s="396"/>
      <c r="K277" s="310"/>
      <c r="L277" s="310"/>
      <c r="M277" s="310"/>
      <c r="N277" s="310"/>
      <c r="O277" s="234"/>
      <c r="P277" s="234"/>
      <c r="AF277" s="234"/>
      <c r="AG277" s="234"/>
      <c r="AH277" s="234"/>
      <c r="AI277" s="234"/>
      <c r="AJ277" s="234"/>
      <c r="EO277" s="234"/>
      <c r="EP277" s="234"/>
      <c r="EQ277" s="234"/>
      <c r="ER277" s="234"/>
      <c r="ES277" s="234"/>
      <c r="ET277" s="234"/>
      <c r="EU277" s="234"/>
      <c r="EV277" s="234"/>
      <c r="EW277" s="234"/>
      <c r="EX277" s="234"/>
      <c r="GU277" s="234"/>
      <c r="GV277" s="234"/>
      <c r="GW277" s="234"/>
      <c r="GX277" s="234"/>
      <c r="GY277" s="234"/>
      <c r="GZ277" s="234"/>
      <c r="HA277" s="234"/>
      <c r="HB277" s="234"/>
      <c r="HC277" s="234"/>
      <c r="HD277" s="234"/>
      <c r="HE277" s="234"/>
      <c r="HF277" s="234"/>
      <c r="HG277" s="234"/>
      <c r="HH277" s="234"/>
    </row>
    <row r="278" spans="1:216" x14ac:dyDescent="0.2">
      <c r="A278" s="396"/>
      <c r="B278" s="396"/>
      <c r="C278" s="396"/>
      <c r="D278" s="310"/>
      <c r="E278" s="310"/>
      <c r="F278" s="310"/>
      <c r="G278" s="310"/>
      <c r="H278" s="310"/>
      <c r="I278" s="310"/>
      <c r="J278" s="396"/>
      <c r="K278" s="310"/>
      <c r="L278" s="310"/>
      <c r="M278" s="310"/>
      <c r="N278" s="310"/>
      <c r="O278" s="234"/>
      <c r="P278" s="234"/>
      <c r="AF278" s="234"/>
      <c r="AG278" s="234"/>
      <c r="AH278" s="234"/>
      <c r="AI278" s="234"/>
      <c r="AJ278" s="234"/>
      <c r="EO278" s="234"/>
      <c r="EP278" s="234"/>
      <c r="EQ278" s="234"/>
      <c r="ER278" s="234"/>
      <c r="ES278" s="234"/>
      <c r="ET278" s="234"/>
      <c r="EU278" s="234"/>
      <c r="EV278" s="234"/>
      <c r="EW278" s="234"/>
      <c r="EX278" s="234"/>
      <c r="GU278" s="234"/>
      <c r="GV278" s="234"/>
      <c r="GW278" s="234"/>
      <c r="GX278" s="234"/>
      <c r="GY278" s="234"/>
      <c r="GZ278" s="234"/>
      <c r="HA278" s="234"/>
      <c r="HB278" s="234"/>
      <c r="HC278" s="234"/>
      <c r="HD278" s="234"/>
      <c r="HE278" s="234"/>
      <c r="HF278" s="234"/>
      <c r="HG278" s="234"/>
      <c r="HH278" s="234"/>
    </row>
    <row r="279" spans="1:216" x14ac:dyDescent="0.2">
      <c r="A279" s="396"/>
      <c r="B279" s="396"/>
      <c r="C279" s="396"/>
      <c r="D279" s="310"/>
      <c r="E279" s="310"/>
      <c r="F279" s="310"/>
      <c r="G279" s="310"/>
      <c r="H279" s="310"/>
      <c r="I279" s="310"/>
      <c r="J279" s="396"/>
      <c r="K279" s="310"/>
      <c r="L279" s="310"/>
      <c r="M279" s="310"/>
      <c r="N279" s="310"/>
      <c r="O279" s="234"/>
      <c r="P279" s="234"/>
      <c r="AF279" s="234"/>
      <c r="AG279" s="234"/>
      <c r="AH279" s="234"/>
      <c r="AI279" s="234"/>
      <c r="AJ279" s="234"/>
      <c r="EO279" s="234"/>
      <c r="EP279" s="234"/>
      <c r="EQ279" s="234"/>
      <c r="ER279" s="234"/>
      <c r="ES279" s="234"/>
      <c r="ET279" s="234"/>
      <c r="EU279" s="234"/>
      <c r="EV279" s="234"/>
      <c r="EW279" s="234"/>
      <c r="EX279" s="234"/>
      <c r="GU279" s="234"/>
      <c r="GV279" s="234"/>
      <c r="GW279" s="234"/>
      <c r="GX279" s="234"/>
      <c r="GY279" s="234"/>
      <c r="GZ279" s="234"/>
      <c r="HA279" s="234"/>
      <c r="HB279" s="234"/>
      <c r="HC279" s="234"/>
      <c r="HD279" s="234"/>
      <c r="HE279" s="234"/>
      <c r="HF279" s="234"/>
      <c r="HG279" s="234"/>
      <c r="HH279" s="234"/>
    </row>
    <row r="280" spans="1:216" x14ac:dyDescent="0.2">
      <c r="A280" s="396"/>
      <c r="B280" s="396"/>
      <c r="C280" s="396"/>
      <c r="D280" s="310"/>
      <c r="E280" s="310"/>
      <c r="F280" s="310"/>
      <c r="G280" s="310"/>
      <c r="H280" s="310"/>
      <c r="I280" s="310"/>
      <c r="J280" s="396"/>
      <c r="K280" s="310"/>
      <c r="L280" s="310"/>
      <c r="M280" s="310"/>
      <c r="N280" s="310"/>
      <c r="O280" s="234"/>
      <c r="P280" s="234"/>
      <c r="V280" s="234"/>
      <c r="W280" s="234"/>
      <c r="X280" s="234"/>
      <c r="Y280" s="234"/>
      <c r="Z280" s="234"/>
      <c r="AA280" s="234"/>
      <c r="AB280" s="234"/>
      <c r="AC280" s="234"/>
      <c r="AD280" s="234"/>
      <c r="AE280" s="234"/>
      <c r="AF280" s="234"/>
      <c r="AG280" s="234"/>
      <c r="AH280" s="234"/>
      <c r="AI280" s="234"/>
      <c r="AJ280" s="234"/>
      <c r="GU280" s="234"/>
      <c r="GV280" s="234"/>
      <c r="GW280" s="234"/>
      <c r="GX280" s="234"/>
      <c r="GY280" s="234"/>
      <c r="GZ280" s="234"/>
      <c r="HA280" s="234"/>
      <c r="HB280" s="234"/>
      <c r="HC280" s="234"/>
      <c r="HD280" s="234"/>
      <c r="HE280" s="234"/>
      <c r="HF280" s="234"/>
      <c r="HG280" s="234"/>
      <c r="HH280" s="234"/>
    </row>
    <row r="281" spans="1:216" x14ac:dyDescent="0.2">
      <c r="A281" s="396"/>
      <c r="B281" s="396"/>
      <c r="C281" s="396"/>
      <c r="D281" s="310"/>
      <c r="E281" s="310"/>
      <c r="F281" s="310"/>
      <c r="G281" s="310"/>
      <c r="H281" s="310"/>
      <c r="I281" s="310"/>
      <c r="J281" s="396"/>
      <c r="K281" s="310"/>
      <c r="L281" s="310"/>
      <c r="M281" s="310"/>
      <c r="N281" s="310"/>
      <c r="O281" s="234"/>
      <c r="P281" s="234"/>
      <c r="V281" s="234"/>
      <c r="W281" s="234"/>
      <c r="X281" s="234"/>
      <c r="Y281" s="234"/>
      <c r="Z281" s="234"/>
      <c r="AA281" s="234"/>
      <c r="AB281" s="234"/>
      <c r="AC281" s="234"/>
      <c r="AD281" s="234"/>
      <c r="AE281" s="234"/>
      <c r="AF281" s="234"/>
      <c r="AG281" s="234"/>
      <c r="AH281" s="234"/>
      <c r="AI281" s="234"/>
      <c r="AJ281" s="234"/>
      <c r="GU281" s="234"/>
      <c r="GV281" s="234"/>
      <c r="GW281" s="234"/>
      <c r="GX281" s="234"/>
      <c r="GY281" s="234"/>
      <c r="GZ281" s="234"/>
      <c r="HA281" s="234"/>
      <c r="HB281" s="234"/>
      <c r="HC281" s="234"/>
      <c r="HD281" s="234"/>
      <c r="HE281" s="234"/>
      <c r="HF281" s="234"/>
      <c r="HG281" s="234"/>
      <c r="HH281" s="234"/>
    </row>
    <row r="282" spans="1:216" x14ac:dyDescent="0.2">
      <c r="A282" s="396"/>
      <c r="B282" s="396"/>
      <c r="C282" s="396"/>
      <c r="D282" s="310"/>
      <c r="E282" s="310"/>
      <c r="F282" s="310"/>
      <c r="G282" s="310"/>
      <c r="H282" s="310"/>
      <c r="I282" s="310"/>
      <c r="J282" s="396"/>
      <c r="K282" s="310"/>
      <c r="L282" s="310"/>
      <c r="M282" s="310"/>
      <c r="N282" s="310"/>
      <c r="O282" s="234"/>
      <c r="P282" s="234"/>
      <c r="Q282" s="234"/>
      <c r="R282" s="234"/>
      <c r="S282" s="234"/>
      <c r="T282" s="234"/>
      <c r="U282" s="234"/>
      <c r="V282" s="234"/>
      <c r="W282" s="234"/>
      <c r="X282" s="234"/>
      <c r="Y282" s="234"/>
      <c r="Z282" s="234"/>
      <c r="AA282" s="234"/>
      <c r="AB282" s="234"/>
      <c r="AC282" s="234"/>
      <c r="AD282" s="234"/>
      <c r="AE282" s="234"/>
      <c r="AF282" s="234"/>
      <c r="AG282" s="234"/>
      <c r="AH282" s="234"/>
      <c r="AI282" s="234"/>
      <c r="AJ282" s="234"/>
      <c r="GU282" s="234"/>
      <c r="GV282" s="234"/>
      <c r="GW282" s="234"/>
      <c r="GX282" s="234"/>
      <c r="GY282" s="234"/>
      <c r="GZ282" s="234"/>
      <c r="HA282" s="234"/>
      <c r="HB282" s="234"/>
      <c r="HC282" s="234"/>
      <c r="HD282" s="234"/>
      <c r="HE282" s="234"/>
      <c r="HF282" s="234"/>
      <c r="HG282" s="234"/>
      <c r="HH282" s="234"/>
    </row>
    <row r="283" spans="1:216" x14ac:dyDescent="0.2">
      <c r="A283" s="396"/>
      <c r="B283" s="396"/>
      <c r="C283" s="396"/>
      <c r="D283" s="310"/>
      <c r="E283" s="310"/>
      <c r="F283" s="310"/>
      <c r="G283" s="310"/>
      <c r="H283" s="310"/>
      <c r="I283" s="310"/>
      <c r="J283" s="396"/>
      <c r="K283" s="310"/>
      <c r="L283" s="310"/>
      <c r="M283" s="310"/>
      <c r="N283" s="310"/>
      <c r="O283" s="234"/>
      <c r="P283" s="234"/>
      <c r="Q283" s="234"/>
      <c r="R283" s="234"/>
      <c r="S283" s="234"/>
      <c r="T283" s="234"/>
      <c r="U283" s="234"/>
      <c r="V283" s="234"/>
      <c r="W283" s="234"/>
      <c r="X283" s="234"/>
      <c r="Y283" s="234"/>
      <c r="Z283" s="234"/>
      <c r="AA283" s="234"/>
      <c r="AB283" s="234"/>
      <c r="AC283" s="234"/>
      <c r="AD283" s="234"/>
      <c r="AE283" s="234"/>
      <c r="AF283" s="234"/>
      <c r="AG283" s="234"/>
      <c r="AH283" s="234"/>
      <c r="AI283" s="234"/>
      <c r="AJ283" s="234"/>
    </row>
    <row r="284" spans="1:216" x14ac:dyDescent="0.2">
      <c r="A284" s="396"/>
      <c r="B284" s="396"/>
      <c r="C284" s="396"/>
      <c r="D284" s="310"/>
      <c r="E284" s="310"/>
      <c r="F284" s="310"/>
      <c r="G284" s="310"/>
      <c r="H284" s="310"/>
      <c r="I284" s="310"/>
      <c r="J284" s="396"/>
      <c r="K284" s="310"/>
      <c r="L284" s="310"/>
      <c r="M284" s="310"/>
      <c r="N284" s="310"/>
      <c r="O284" s="234"/>
      <c r="P284" s="234"/>
      <c r="Q284" s="234"/>
      <c r="R284" s="234"/>
      <c r="S284" s="234"/>
      <c r="T284" s="234"/>
      <c r="U284" s="234"/>
      <c r="V284" s="234"/>
      <c r="W284" s="234"/>
      <c r="X284" s="234"/>
      <c r="Y284" s="234"/>
      <c r="Z284" s="234"/>
      <c r="AA284" s="234"/>
      <c r="AB284" s="234"/>
      <c r="AC284" s="234"/>
      <c r="AD284" s="234"/>
      <c r="AE284" s="234"/>
      <c r="AF284" s="234"/>
      <c r="AG284" s="234"/>
      <c r="AH284" s="234"/>
      <c r="AI284" s="234"/>
      <c r="AJ284" s="234"/>
    </row>
    <row r="285" spans="1:216" x14ac:dyDescent="0.2">
      <c r="A285" s="396"/>
      <c r="B285" s="396"/>
      <c r="C285" s="396"/>
      <c r="D285" s="310"/>
      <c r="E285" s="310"/>
      <c r="F285" s="310"/>
      <c r="G285" s="310"/>
      <c r="H285" s="310"/>
      <c r="I285" s="310"/>
      <c r="J285" s="396"/>
      <c r="K285" s="310"/>
      <c r="L285" s="310"/>
      <c r="M285" s="310"/>
      <c r="N285" s="310"/>
      <c r="O285" s="234"/>
      <c r="P285" s="234"/>
      <c r="Q285" s="234"/>
      <c r="R285" s="234"/>
      <c r="S285" s="234"/>
      <c r="T285" s="234"/>
      <c r="U285" s="234"/>
      <c r="V285" s="234"/>
      <c r="W285" s="234"/>
      <c r="X285" s="234"/>
      <c r="Y285" s="234"/>
      <c r="Z285" s="234"/>
      <c r="AA285" s="234"/>
      <c r="AB285" s="234"/>
      <c r="AC285" s="234"/>
      <c r="AD285" s="234"/>
      <c r="AE285" s="234"/>
      <c r="AF285" s="234"/>
      <c r="AG285" s="234"/>
      <c r="AH285" s="234"/>
      <c r="AI285" s="234"/>
      <c r="AJ285" s="234"/>
    </row>
    <row r="286" spans="1:216" x14ac:dyDescent="0.2">
      <c r="A286" s="396"/>
      <c r="B286" s="396"/>
      <c r="C286" s="396"/>
      <c r="D286" s="310"/>
      <c r="E286" s="310"/>
      <c r="F286" s="310"/>
      <c r="G286" s="310"/>
      <c r="H286" s="310"/>
      <c r="I286" s="310"/>
      <c r="J286" s="396"/>
      <c r="K286" s="310"/>
      <c r="L286" s="310"/>
      <c r="M286" s="310"/>
      <c r="N286" s="310"/>
      <c r="O286" s="234"/>
      <c r="P286" s="234"/>
    </row>
    <row r="287" spans="1:216" x14ac:dyDescent="0.2">
      <c r="A287" s="396"/>
      <c r="B287" s="396"/>
      <c r="C287" s="396"/>
      <c r="D287" s="310"/>
      <c r="E287" s="310"/>
      <c r="F287" s="310"/>
      <c r="G287" s="310"/>
      <c r="H287" s="310"/>
      <c r="I287" s="310"/>
      <c r="J287" s="396"/>
      <c r="K287" s="310"/>
      <c r="L287" s="310"/>
      <c r="M287" s="310"/>
      <c r="N287" s="310"/>
      <c r="O287" s="234"/>
      <c r="P287" s="234"/>
    </row>
    <row r="288" spans="1:216" x14ac:dyDescent="0.2">
      <c r="A288" s="396"/>
      <c r="B288" s="396"/>
      <c r="C288" s="396"/>
      <c r="D288" s="310"/>
      <c r="E288" s="310"/>
      <c r="F288" s="310"/>
      <c r="G288" s="310"/>
      <c r="H288" s="310"/>
      <c r="I288" s="310"/>
      <c r="J288" s="396"/>
      <c r="K288" s="310"/>
      <c r="L288" s="310"/>
      <c r="M288" s="310"/>
      <c r="N288" s="310"/>
      <c r="O288" s="234"/>
      <c r="P288" s="234"/>
    </row>
    <row r="289" spans="1:16" x14ac:dyDescent="0.2">
      <c r="A289" s="396"/>
      <c r="B289" s="396"/>
      <c r="C289" s="396"/>
      <c r="D289" s="310"/>
      <c r="E289" s="310"/>
      <c r="F289" s="310"/>
      <c r="G289" s="310"/>
      <c r="H289" s="310"/>
      <c r="I289" s="310"/>
      <c r="J289" s="396"/>
      <c r="K289" s="310"/>
      <c r="L289" s="310"/>
      <c r="M289" s="310"/>
      <c r="N289" s="310"/>
      <c r="O289" s="234"/>
      <c r="P289" s="234"/>
    </row>
    <row r="290" spans="1:16" x14ac:dyDescent="0.2">
      <c r="A290" s="396"/>
      <c r="B290" s="396"/>
      <c r="C290" s="396"/>
      <c r="D290" s="310"/>
      <c r="E290" s="310"/>
      <c r="F290" s="310"/>
      <c r="G290" s="310"/>
      <c r="H290" s="310"/>
      <c r="I290" s="310"/>
      <c r="J290" s="396"/>
      <c r="K290" s="310"/>
      <c r="L290" s="310"/>
      <c r="M290" s="310"/>
      <c r="N290" s="310"/>
      <c r="O290" s="234"/>
      <c r="P290" s="234"/>
    </row>
    <row r="291" spans="1:16" x14ac:dyDescent="0.2">
      <c r="A291" s="396"/>
      <c r="B291" s="396"/>
      <c r="C291" s="396"/>
      <c r="D291" s="310"/>
      <c r="E291" s="310"/>
      <c r="F291" s="310"/>
      <c r="G291" s="310"/>
      <c r="H291" s="310"/>
      <c r="I291" s="310"/>
      <c r="J291" s="396"/>
      <c r="K291" s="310"/>
      <c r="L291" s="310"/>
      <c r="M291" s="310"/>
      <c r="N291" s="310"/>
      <c r="O291" s="234"/>
      <c r="P291" s="234"/>
    </row>
    <row r="292" spans="1:16" x14ac:dyDescent="0.2">
      <c r="A292" s="396"/>
      <c r="B292" s="396"/>
      <c r="C292" s="396"/>
      <c r="D292" s="310"/>
      <c r="E292" s="310"/>
      <c r="F292" s="310"/>
      <c r="G292" s="310"/>
      <c r="H292" s="310"/>
      <c r="I292" s="310"/>
      <c r="J292" s="396"/>
      <c r="K292" s="310"/>
      <c r="L292" s="310"/>
      <c r="M292" s="310"/>
      <c r="N292" s="310"/>
      <c r="O292" s="234"/>
      <c r="P292" s="234"/>
    </row>
    <row r="293" spans="1:16" x14ac:dyDescent="0.2">
      <c r="A293" s="396"/>
      <c r="B293" s="396"/>
      <c r="C293" s="396"/>
      <c r="D293" s="310"/>
      <c r="E293" s="310"/>
      <c r="F293" s="310"/>
      <c r="G293" s="310"/>
      <c r="H293" s="310"/>
      <c r="I293" s="310"/>
      <c r="J293" s="396"/>
      <c r="K293" s="310"/>
      <c r="L293" s="310"/>
      <c r="M293" s="310"/>
      <c r="N293" s="310"/>
      <c r="O293" s="234"/>
      <c r="P293" s="234"/>
    </row>
    <row r="294" spans="1:16" x14ac:dyDescent="0.2">
      <c r="A294" s="396"/>
      <c r="B294" s="396"/>
      <c r="C294" s="396"/>
      <c r="D294" s="310"/>
      <c r="E294" s="310"/>
      <c r="F294" s="310"/>
      <c r="G294" s="310"/>
      <c r="H294" s="310"/>
      <c r="I294" s="310"/>
      <c r="J294" s="396"/>
      <c r="K294" s="397"/>
      <c r="L294" s="397"/>
      <c r="M294" s="397"/>
      <c r="N294" s="310"/>
      <c r="O294" s="234"/>
      <c r="P294" s="234"/>
    </row>
    <row r="295" spans="1:16" x14ac:dyDescent="0.2">
      <c r="A295" s="396"/>
      <c r="B295" s="396"/>
      <c r="C295" s="396"/>
      <c r="D295" s="310"/>
      <c r="E295" s="310"/>
      <c r="F295" s="310"/>
      <c r="G295" s="310"/>
      <c r="H295" s="310"/>
      <c r="I295" s="310"/>
      <c r="J295" s="225"/>
      <c r="K295" s="397"/>
      <c r="L295" s="397"/>
      <c r="M295" s="397"/>
      <c r="N295" s="225"/>
      <c r="O295" s="234"/>
      <c r="P295" s="234"/>
    </row>
    <row r="296" spans="1:16" x14ac:dyDescent="0.2">
      <c r="A296" s="396"/>
      <c r="B296" s="396"/>
      <c r="C296" s="396"/>
      <c r="D296" s="310"/>
      <c r="E296" s="310"/>
      <c r="F296" s="310"/>
      <c r="G296" s="310"/>
      <c r="H296" s="310"/>
      <c r="I296" s="310"/>
      <c r="J296" s="225"/>
      <c r="K296" s="397"/>
      <c r="L296" s="397"/>
      <c r="M296" s="397"/>
      <c r="N296" s="225"/>
      <c r="O296" s="234"/>
      <c r="P296" s="234"/>
    </row>
    <row r="297" spans="1:16" x14ac:dyDescent="0.2">
      <c r="A297" s="396"/>
      <c r="B297" s="396"/>
      <c r="C297" s="396"/>
      <c r="D297" s="310"/>
      <c r="E297" s="310"/>
      <c r="F297" s="310"/>
      <c r="G297" s="310"/>
      <c r="H297" s="310"/>
      <c r="I297" s="310"/>
      <c r="J297" s="225"/>
      <c r="K297" s="397"/>
      <c r="L297" s="397"/>
      <c r="M297" s="397"/>
      <c r="N297" s="225"/>
      <c r="O297" s="234"/>
      <c r="P297" s="234"/>
    </row>
    <row r="298" spans="1:16" x14ac:dyDescent="0.2">
      <c r="A298" s="225"/>
      <c r="B298" s="225"/>
      <c r="C298" s="225"/>
      <c r="D298" s="225"/>
      <c r="E298" s="225"/>
      <c r="F298" s="225"/>
      <c r="G298" s="225"/>
      <c r="H298" s="225"/>
      <c r="I298" s="225"/>
      <c r="J298" s="225"/>
      <c r="K298" s="397"/>
      <c r="L298" s="397"/>
      <c r="M298" s="397"/>
      <c r="N298" s="225"/>
      <c r="O298" s="234"/>
      <c r="P298" s="234"/>
    </row>
    <row r="299" spans="1:16" x14ac:dyDescent="0.2">
      <c r="A299" s="225"/>
      <c r="B299" s="225"/>
      <c r="C299" s="225"/>
      <c r="D299" s="225"/>
      <c r="E299" s="225"/>
      <c r="F299" s="225"/>
      <c r="G299" s="225"/>
      <c r="H299" s="225"/>
      <c r="I299" s="225"/>
      <c r="J299" s="225"/>
      <c r="K299" s="399"/>
      <c r="L299" s="399"/>
      <c r="M299" s="397"/>
      <c r="N299" s="225"/>
      <c r="O299" s="234"/>
      <c r="P299" s="234"/>
    </row>
    <row r="300" spans="1:16" x14ac:dyDescent="0.2">
      <c r="A300" s="401"/>
      <c r="B300" s="401"/>
      <c r="C300" s="401"/>
      <c r="D300" s="225"/>
      <c r="E300" s="225"/>
      <c r="F300" s="225"/>
      <c r="G300" s="225"/>
      <c r="H300" s="225"/>
      <c r="I300" s="225"/>
      <c r="J300" s="401"/>
      <c r="K300" s="399"/>
      <c r="L300" s="399"/>
      <c r="M300" s="397"/>
      <c r="N300" s="225"/>
      <c r="O300" s="234"/>
      <c r="P300" s="234"/>
    </row>
    <row r="301" spans="1:16" x14ac:dyDescent="0.2">
      <c r="A301" s="401"/>
      <c r="B301" s="401"/>
      <c r="C301" s="401"/>
      <c r="D301" s="225"/>
      <c r="E301" s="225"/>
      <c r="F301" s="225"/>
      <c r="G301" s="225"/>
      <c r="H301" s="225"/>
      <c r="I301" s="225"/>
      <c r="J301" s="401"/>
      <c r="K301" s="397"/>
      <c r="L301" s="397"/>
      <c r="M301" s="397"/>
      <c r="N301" s="225"/>
      <c r="O301" s="234"/>
      <c r="P301" s="234"/>
    </row>
    <row r="302" spans="1:16" x14ac:dyDescent="0.2">
      <c r="A302" s="225"/>
      <c r="B302" s="225"/>
      <c r="C302" s="225"/>
      <c r="D302" s="225"/>
      <c r="E302" s="225"/>
      <c r="F302" s="225"/>
      <c r="G302" s="225"/>
      <c r="H302" s="225"/>
      <c r="I302" s="225"/>
      <c r="J302" s="225"/>
      <c r="K302" s="411"/>
      <c r="L302" s="411"/>
      <c r="M302" s="411"/>
      <c r="N302" s="225"/>
      <c r="O302" s="234"/>
      <c r="P302" s="234"/>
    </row>
    <row r="303" spans="1:16" x14ac:dyDescent="0.2">
      <c r="A303" s="406"/>
      <c r="B303" s="406"/>
      <c r="C303" s="406"/>
      <c r="D303" s="406"/>
      <c r="E303" s="406"/>
      <c r="F303" s="406"/>
      <c r="G303" s="406"/>
      <c r="H303" s="406"/>
      <c r="I303" s="406"/>
      <c r="J303" s="406"/>
      <c r="K303" s="411"/>
      <c r="L303" s="411"/>
      <c r="M303" s="411"/>
      <c r="N303" s="406"/>
      <c r="O303" s="234"/>
      <c r="P303" s="234"/>
    </row>
    <row r="304" spans="1:16" x14ac:dyDescent="0.2">
      <c r="A304" s="406"/>
      <c r="B304" s="406"/>
      <c r="C304" s="406"/>
      <c r="D304" s="406"/>
      <c r="E304" s="406"/>
      <c r="F304" s="406"/>
      <c r="G304" s="406"/>
      <c r="H304" s="406"/>
      <c r="I304" s="406"/>
      <c r="J304" s="406"/>
      <c r="K304" s="310"/>
      <c r="L304" s="310"/>
      <c r="M304" s="310"/>
      <c r="N304" s="406"/>
      <c r="O304" s="234"/>
      <c r="P304" s="234"/>
    </row>
    <row r="305" spans="1:16" x14ac:dyDescent="0.2">
      <c r="A305" s="396"/>
      <c r="B305" s="396"/>
      <c r="C305" s="396"/>
      <c r="D305" s="310"/>
      <c r="E305" s="310"/>
      <c r="F305" s="310"/>
      <c r="G305" s="310"/>
      <c r="H305" s="310"/>
      <c r="I305" s="310"/>
      <c r="J305" s="396"/>
      <c r="K305" s="310"/>
      <c r="L305" s="310"/>
      <c r="M305" s="310"/>
      <c r="N305" s="310"/>
      <c r="O305" s="234"/>
      <c r="P305" s="234"/>
    </row>
    <row r="306" spans="1:16" x14ac:dyDescent="0.2">
      <c r="A306" s="396"/>
      <c r="B306" s="396"/>
      <c r="C306" s="396"/>
      <c r="D306" s="310"/>
      <c r="E306" s="310"/>
      <c r="F306" s="310"/>
      <c r="G306" s="310"/>
      <c r="H306" s="310"/>
      <c r="I306" s="310"/>
      <c r="J306" s="396"/>
      <c r="K306" s="310"/>
      <c r="L306" s="310"/>
      <c r="M306" s="310"/>
      <c r="N306" s="310"/>
      <c r="O306" s="234"/>
      <c r="P306" s="234"/>
    </row>
    <row r="307" spans="1:16" x14ac:dyDescent="0.2">
      <c r="A307" s="396"/>
      <c r="B307" s="396"/>
      <c r="C307" s="396"/>
      <c r="D307" s="310"/>
      <c r="E307" s="310"/>
      <c r="F307" s="310"/>
      <c r="G307" s="310"/>
      <c r="H307" s="310"/>
      <c r="I307" s="310"/>
      <c r="J307" s="396"/>
      <c r="K307" s="310"/>
      <c r="L307" s="310"/>
      <c r="M307" s="310"/>
      <c r="N307" s="310"/>
      <c r="O307" s="234"/>
      <c r="P307" s="234"/>
    </row>
    <row r="308" spans="1:16" x14ac:dyDescent="0.2">
      <c r="A308" s="396"/>
      <c r="B308" s="396"/>
      <c r="C308" s="396"/>
      <c r="D308" s="310"/>
      <c r="E308" s="310"/>
      <c r="F308" s="310"/>
      <c r="G308" s="310"/>
      <c r="H308" s="310"/>
      <c r="I308" s="310"/>
      <c r="J308" s="396"/>
      <c r="K308" s="310"/>
      <c r="L308" s="310"/>
      <c r="M308" s="310"/>
      <c r="N308" s="310"/>
      <c r="O308" s="234"/>
      <c r="P308" s="234"/>
    </row>
    <row r="309" spans="1:16" x14ac:dyDescent="0.2">
      <c r="A309" s="396"/>
      <c r="B309" s="396"/>
      <c r="C309" s="396"/>
      <c r="D309" s="310"/>
      <c r="E309" s="310"/>
      <c r="F309" s="310"/>
      <c r="G309" s="310"/>
      <c r="H309" s="310"/>
      <c r="I309" s="310"/>
      <c r="J309" s="396"/>
      <c r="K309" s="310"/>
      <c r="L309" s="310"/>
      <c r="M309" s="310"/>
      <c r="N309" s="310"/>
      <c r="O309" s="234"/>
      <c r="P309" s="234"/>
    </row>
    <row r="310" spans="1:16" x14ac:dyDescent="0.2">
      <c r="A310" s="396"/>
      <c r="B310" s="396"/>
      <c r="C310" s="396"/>
      <c r="D310" s="310"/>
      <c r="E310" s="310"/>
      <c r="F310" s="310"/>
      <c r="G310" s="310"/>
      <c r="H310" s="310"/>
      <c r="I310" s="310"/>
      <c r="J310" s="396"/>
      <c r="K310" s="310"/>
      <c r="L310" s="310"/>
      <c r="M310" s="310"/>
      <c r="N310" s="310"/>
      <c r="O310" s="234"/>
      <c r="P310" s="234"/>
    </row>
    <row r="311" spans="1:16" x14ac:dyDescent="0.2">
      <c r="A311" s="396"/>
      <c r="B311" s="396"/>
      <c r="C311" s="396"/>
      <c r="D311" s="310"/>
      <c r="E311" s="310"/>
      <c r="F311" s="310"/>
      <c r="G311" s="310"/>
      <c r="H311" s="310"/>
      <c r="I311" s="310"/>
      <c r="J311" s="396"/>
      <c r="K311" s="310"/>
      <c r="L311" s="310"/>
      <c r="M311" s="310"/>
      <c r="N311" s="310"/>
      <c r="O311" s="234"/>
      <c r="P311" s="234"/>
    </row>
    <row r="312" spans="1:16" x14ac:dyDescent="0.2">
      <c r="A312" s="396"/>
      <c r="B312" s="396"/>
      <c r="C312" s="396"/>
      <c r="D312" s="310"/>
      <c r="E312" s="310"/>
      <c r="F312" s="310"/>
      <c r="G312" s="310"/>
      <c r="H312" s="310"/>
      <c r="I312" s="310"/>
      <c r="J312" s="396"/>
      <c r="K312" s="310"/>
      <c r="L312" s="310"/>
      <c r="M312" s="310"/>
      <c r="N312" s="310"/>
      <c r="O312" s="234"/>
      <c r="P312" s="234"/>
    </row>
    <row r="313" spans="1:16" x14ac:dyDescent="0.2">
      <c r="A313" s="396"/>
      <c r="B313" s="396"/>
      <c r="C313" s="396"/>
      <c r="D313" s="310"/>
      <c r="E313" s="310"/>
      <c r="F313" s="310"/>
      <c r="G313" s="310"/>
      <c r="H313" s="310"/>
      <c r="I313" s="310"/>
      <c r="J313" s="396"/>
      <c r="K313" s="310"/>
      <c r="L313" s="310"/>
      <c r="M313" s="310"/>
      <c r="N313" s="310"/>
      <c r="O313" s="234"/>
      <c r="P313" s="234"/>
    </row>
    <row r="314" spans="1:16" x14ac:dyDescent="0.2">
      <c r="A314" s="396"/>
      <c r="B314" s="396"/>
      <c r="C314" s="396"/>
      <c r="D314" s="310"/>
      <c r="E314" s="310"/>
      <c r="F314" s="310"/>
      <c r="G314" s="310"/>
      <c r="H314" s="310"/>
      <c r="I314" s="310"/>
      <c r="J314" s="396"/>
      <c r="K314" s="310"/>
      <c r="L314" s="310"/>
      <c r="M314" s="310"/>
      <c r="N314" s="310"/>
      <c r="O314" s="234"/>
      <c r="P314" s="234"/>
    </row>
    <row r="315" spans="1:16" x14ac:dyDescent="0.2">
      <c r="A315" s="396"/>
      <c r="B315" s="396"/>
      <c r="C315" s="396"/>
      <c r="D315" s="310"/>
      <c r="E315" s="310"/>
      <c r="F315" s="310"/>
      <c r="G315" s="310"/>
      <c r="H315" s="310"/>
      <c r="I315" s="310"/>
      <c r="J315" s="396"/>
      <c r="K315" s="310"/>
      <c r="L315" s="310"/>
      <c r="M315" s="310"/>
      <c r="N315" s="310"/>
      <c r="O315" s="234"/>
      <c r="P315" s="234"/>
    </row>
    <row r="316" spans="1:16" x14ac:dyDescent="0.2">
      <c r="A316" s="396"/>
      <c r="B316" s="396"/>
      <c r="C316" s="396"/>
      <c r="D316" s="310"/>
      <c r="E316" s="310"/>
      <c r="F316" s="310"/>
      <c r="G316" s="310"/>
      <c r="H316" s="310"/>
      <c r="I316" s="310"/>
      <c r="J316" s="396"/>
      <c r="K316" s="310"/>
      <c r="L316" s="310"/>
      <c r="M316" s="310"/>
      <c r="N316" s="310"/>
      <c r="O316" s="234"/>
      <c r="P316" s="234"/>
    </row>
    <row r="317" spans="1:16" x14ac:dyDescent="0.2">
      <c r="A317" s="396"/>
      <c r="B317" s="396"/>
      <c r="C317" s="396"/>
      <c r="D317" s="310"/>
      <c r="E317" s="310"/>
      <c r="F317" s="310"/>
      <c r="G317" s="310"/>
      <c r="H317" s="310"/>
      <c r="I317" s="310"/>
      <c r="J317" s="396"/>
      <c r="K317" s="310"/>
      <c r="L317" s="310"/>
      <c r="M317" s="310"/>
      <c r="N317" s="310"/>
      <c r="O317" s="234"/>
      <c r="P317" s="234"/>
    </row>
    <row r="318" spans="1:16" x14ac:dyDescent="0.2">
      <c r="A318" s="396"/>
      <c r="B318" s="396"/>
      <c r="C318" s="396"/>
      <c r="D318" s="310"/>
      <c r="E318" s="310"/>
      <c r="F318" s="310"/>
      <c r="G318" s="310"/>
      <c r="H318" s="310"/>
      <c r="I318" s="310"/>
      <c r="J318" s="396"/>
      <c r="K318" s="310"/>
      <c r="L318" s="310"/>
      <c r="M318" s="310"/>
      <c r="N318" s="310"/>
      <c r="O318" s="234"/>
      <c r="P318" s="234"/>
    </row>
    <row r="319" spans="1:16" x14ac:dyDescent="0.2">
      <c r="A319" s="396"/>
      <c r="B319" s="396"/>
      <c r="C319" s="396"/>
      <c r="D319" s="310"/>
      <c r="E319" s="310"/>
      <c r="F319" s="310"/>
      <c r="G319" s="310"/>
      <c r="H319" s="310"/>
      <c r="I319" s="310"/>
      <c r="J319" s="396"/>
      <c r="K319" s="310"/>
      <c r="L319" s="310"/>
      <c r="M319" s="310"/>
      <c r="N319" s="310"/>
      <c r="O319" s="234"/>
      <c r="P319" s="234"/>
    </row>
    <row r="320" spans="1:16" x14ac:dyDescent="0.2">
      <c r="A320" s="396"/>
      <c r="B320" s="396"/>
      <c r="C320" s="396"/>
      <c r="D320" s="310"/>
      <c r="E320" s="310"/>
      <c r="F320" s="310"/>
      <c r="G320" s="310"/>
      <c r="H320" s="310"/>
      <c r="I320" s="310"/>
      <c r="J320" s="396"/>
      <c r="K320" s="310"/>
      <c r="L320" s="310"/>
      <c r="M320" s="310"/>
      <c r="N320" s="310"/>
      <c r="O320" s="234"/>
      <c r="P320" s="234"/>
    </row>
    <row r="321" spans="1:16" x14ac:dyDescent="0.2">
      <c r="A321" s="396"/>
      <c r="B321" s="396"/>
      <c r="C321" s="396"/>
      <c r="D321" s="310"/>
      <c r="E321" s="310"/>
      <c r="F321" s="310"/>
      <c r="G321" s="310"/>
      <c r="H321" s="310"/>
      <c r="I321" s="310"/>
      <c r="J321" s="396"/>
      <c r="K321" s="310"/>
      <c r="L321" s="310"/>
      <c r="M321" s="310"/>
      <c r="N321" s="310"/>
      <c r="O321" s="234"/>
      <c r="P321" s="234"/>
    </row>
    <row r="322" spans="1:16" x14ac:dyDescent="0.2">
      <c r="A322" s="396"/>
      <c r="B322" s="396"/>
      <c r="C322" s="396"/>
      <c r="D322" s="310"/>
      <c r="E322" s="310"/>
      <c r="F322" s="310"/>
      <c r="G322" s="310"/>
      <c r="H322" s="310"/>
      <c r="I322" s="310"/>
      <c r="J322" s="396"/>
      <c r="K322" s="397"/>
      <c r="L322" s="397"/>
      <c r="M322" s="397"/>
      <c r="N322" s="310"/>
      <c r="O322" s="234"/>
      <c r="P322" s="234"/>
    </row>
    <row r="323" spans="1:16" x14ac:dyDescent="0.2">
      <c r="A323" s="396"/>
      <c r="B323" s="396"/>
      <c r="C323" s="396"/>
      <c r="D323" s="310"/>
      <c r="E323" s="310"/>
      <c r="F323" s="310"/>
      <c r="G323" s="310"/>
      <c r="H323" s="310"/>
      <c r="I323" s="310"/>
      <c r="J323" s="225"/>
      <c r="K323" s="397"/>
      <c r="L323" s="397"/>
      <c r="M323" s="397"/>
      <c r="N323" s="225"/>
      <c r="O323" s="234"/>
      <c r="P323" s="234"/>
    </row>
    <row r="324" spans="1:16" x14ac:dyDescent="0.2">
      <c r="A324" s="396"/>
      <c r="B324" s="396"/>
      <c r="C324" s="396"/>
      <c r="D324" s="310"/>
      <c r="E324" s="310"/>
      <c r="F324" s="310"/>
      <c r="G324" s="310"/>
      <c r="H324" s="310"/>
      <c r="I324" s="310"/>
      <c r="J324" s="225"/>
      <c r="K324" s="397"/>
      <c r="L324" s="397"/>
      <c r="M324" s="397"/>
      <c r="N324" s="225"/>
      <c r="O324" s="234"/>
      <c r="P324" s="234"/>
    </row>
    <row r="325" spans="1:16" x14ac:dyDescent="0.2">
      <c r="A325" s="396"/>
      <c r="B325" s="396"/>
      <c r="C325" s="396"/>
      <c r="D325" s="310"/>
      <c r="E325" s="310"/>
      <c r="F325" s="310"/>
      <c r="G325" s="310"/>
      <c r="H325" s="310"/>
      <c r="I325" s="310"/>
      <c r="J325" s="225"/>
      <c r="K325" s="397"/>
      <c r="L325" s="397"/>
      <c r="M325" s="397"/>
      <c r="N325" s="225"/>
      <c r="O325" s="234"/>
      <c r="P325" s="234"/>
    </row>
    <row r="326" spans="1:16" x14ac:dyDescent="0.2">
      <c r="A326" s="225"/>
      <c r="B326" s="225"/>
      <c r="C326" s="225"/>
      <c r="D326" s="225"/>
      <c r="E326" s="225"/>
      <c r="F326" s="225"/>
      <c r="G326" s="225"/>
      <c r="H326" s="225"/>
      <c r="I326" s="225"/>
      <c r="J326" s="225"/>
      <c r="K326" s="399"/>
      <c r="L326" s="399"/>
      <c r="M326" s="397"/>
      <c r="N326" s="225"/>
      <c r="O326" s="234"/>
      <c r="P326" s="234"/>
    </row>
    <row r="327" spans="1:16" x14ac:dyDescent="0.2">
      <c r="A327" s="401"/>
      <c r="B327" s="401"/>
      <c r="C327" s="401"/>
      <c r="D327" s="225"/>
      <c r="E327" s="225"/>
      <c r="F327" s="225"/>
      <c r="G327" s="225"/>
      <c r="H327" s="225"/>
      <c r="I327" s="225"/>
      <c r="J327" s="401"/>
      <c r="K327" s="399"/>
      <c r="L327" s="399"/>
      <c r="M327" s="397"/>
      <c r="N327" s="225"/>
      <c r="O327" s="234"/>
      <c r="P327" s="234"/>
    </row>
    <row r="328" spans="1:16" x14ac:dyDescent="0.2">
      <c r="A328" s="401"/>
      <c r="B328" s="401"/>
      <c r="C328" s="401"/>
      <c r="D328" s="225"/>
      <c r="E328" s="225"/>
      <c r="F328" s="225"/>
      <c r="G328" s="225"/>
      <c r="H328" s="225"/>
      <c r="I328" s="225"/>
      <c r="J328" s="401"/>
      <c r="K328" s="397"/>
      <c r="L328" s="397"/>
      <c r="M328" s="397"/>
      <c r="N328" s="225"/>
      <c r="O328" s="234"/>
      <c r="P328" s="234"/>
    </row>
    <row r="329" spans="1:16" x14ac:dyDescent="0.2">
      <c r="A329" s="225"/>
      <c r="B329" s="225"/>
      <c r="C329" s="225"/>
      <c r="D329" s="225"/>
      <c r="E329" s="225"/>
      <c r="F329" s="225"/>
      <c r="G329" s="225"/>
      <c r="H329" s="225"/>
      <c r="I329" s="225"/>
      <c r="J329" s="225"/>
      <c r="K329" s="411"/>
      <c r="L329" s="411"/>
      <c r="M329" s="411"/>
      <c r="N329" s="225"/>
      <c r="O329" s="234"/>
      <c r="P329" s="234"/>
    </row>
    <row r="330" spans="1:16" x14ac:dyDescent="0.2">
      <c r="A330" s="406"/>
      <c r="B330" s="406"/>
      <c r="C330" s="406"/>
      <c r="D330" s="406"/>
      <c r="E330" s="406"/>
      <c r="F330" s="406"/>
      <c r="G330" s="406"/>
      <c r="H330" s="406"/>
      <c r="I330" s="406"/>
      <c r="J330" s="406"/>
      <c r="K330" s="411"/>
      <c r="L330" s="411"/>
      <c r="M330" s="411"/>
      <c r="N330" s="406"/>
      <c r="O330" s="234"/>
      <c r="P330" s="234"/>
    </row>
    <row r="331" spans="1:16" x14ac:dyDescent="0.2">
      <c r="A331" s="406"/>
      <c r="B331" s="406"/>
      <c r="C331" s="406"/>
      <c r="D331" s="406"/>
      <c r="E331" s="406"/>
      <c r="F331" s="406"/>
      <c r="G331" s="406"/>
      <c r="H331" s="406"/>
      <c r="I331" s="406"/>
      <c r="J331" s="406"/>
      <c r="K331" s="310"/>
      <c r="L331" s="310"/>
      <c r="M331" s="310"/>
      <c r="N331" s="406"/>
      <c r="O331" s="234"/>
      <c r="P331" s="234"/>
    </row>
    <row r="332" spans="1:16" x14ac:dyDescent="0.2">
      <c r="A332" s="396"/>
      <c r="B332" s="396"/>
      <c r="C332" s="396"/>
      <c r="D332" s="310"/>
      <c r="E332" s="310"/>
      <c r="F332" s="310"/>
      <c r="G332" s="310"/>
      <c r="H332" s="310"/>
      <c r="I332" s="310"/>
      <c r="J332" s="396"/>
      <c r="K332" s="310"/>
      <c r="L332" s="310"/>
      <c r="M332" s="310"/>
      <c r="N332" s="310"/>
      <c r="O332" s="234"/>
      <c r="P332" s="234"/>
    </row>
    <row r="333" spans="1:16" x14ac:dyDescent="0.2">
      <c r="A333" s="396"/>
      <c r="B333" s="396"/>
      <c r="C333" s="396"/>
      <c r="D333" s="310"/>
      <c r="E333" s="310"/>
      <c r="F333" s="310"/>
      <c r="G333" s="310"/>
      <c r="H333" s="310"/>
      <c r="I333" s="310"/>
      <c r="J333" s="396"/>
      <c r="K333" s="310"/>
      <c r="L333" s="310"/>
      <c r="M333" s="310"/>
      <c r="N333" s="310"/>
      <c r="O333" s="234"/>
      <c r="P333" s="234"/>
    </row>
    <row r="334" spans="1:16" x14ac:dyDescent="0.2">
      <c r="A334" s="396"/>
      <c r="B334" s="396"/>
      <c r="C334" s="396"/>
      <c r="D334" s="310"/>
      <c r="E334" s="310"/>
      <c r="F334" s="310"/>
      <c r="G334" s="310"/>
      <c r="H334" s="310"/>
      <c r="I334" s="310"/>
      <c r="J334" s="396"/>
      <c r="K334" s="310"/>
      <c r="L334" s="310"/>
      <c r="M334" s="310"/>
      <c r="N334" s="310"/>
      <c r="O334" s="234"/>
      <c r="P334" s="234"/>
    </row>
    <row r="335" spans="1:16" x14ac:dyDescent="0.2">
      <c r="A335" s="396"/>
      <c r="B335" s="396"/>
      <c r="C335" s="396"/>
      <c r="D335" s="310"/>
      <c r="E335" s="310"/>
      <c r="F335" s="310"/>
      <c r="G335" s="310"/>
      <c r="H335" s="310"/>
      <c r="I335" s="310"/>
      <c r="J335" s="396"/>
      <c r="K335" s="310"/>
      <c r="L335" s="310"/>
      <c r="M335" s="310"/>
      <c r="N335" s="310"/>
      <c r="O335" s="234"/>
      <c r="P335" s="234"/>
    </row>
    <row r="336" spans="1:16" x14ac:dyDescent="0.2">
      <c r="A336" s="396"/>
      <c r="B336" s="396"/>
      <c r="C336" s="396"/>
      <c r="D336" s="310"/>
      <c r="E336" s="310"/>
      <c r="F336" s="310"/>
      <c r="G336" s="310"/>
      <c r="H336" s="310"/>
      <c r="I336" s="310"/>
      <c r="J336" s="396"/>
      <c r="K336" s="310"/>
      <c r="L336" s="310"/>
      <c r="M336" s="310"/>
      <c r="N336" s="310"/>
      <c r="O336" s="234"/>
      <c r="P336" s="234"/>
    </row>
    <row r="337" spans="1:16" x14ac:dyDescent="0.2">
      <c r="A337" s="396"/>
      <c r="B337" s="396"/>
      <c r="C337" s="396"/>
      <c r="D337" s="310"/>
      <c r="E337" s="310"/>
      <c r="F337" s="310"/>
      <c r="G337" s="310"/>
      <c r="H337" s="310"/>
      <c r="I337" s="310"/>
      <c r="J337" s="396"/>
      <c r="K337" s="310"/>
      <c r="L337" s="310"/>
      <c r="M337" s="310"/>
      <c r="N337" s="310"/>
      <c r="O337" s="234"/>
      <c r="P337" s="234"/>
    </row>
    <row r="338" spans="1:16" x14ac:dyDescent="0.2">
      <c r="A338" s="396"/>
      <c r="B338" s="396"/>
      <c r="C338" s="396"/>
      <c r="D338" s="310"/>
      <c r="E338" s="310"/>
      <c r="F338" s="310"/>
      <c r="G338" s="310"/>
      <c r="H338" s="310"/>
      <c r="I338" s="310"/>
      <c r="J338" s="396"/>
      <c r="K338" s="310"/>
      <c r="L338" s="310"/>
      <c r="M338" s="310"/>
      <c r="N338" s="310"/>
      <c r="O338" s="234"/>
      <c r="P338" s="234"/>
    </row>
    <row r="339" spans="1:16" x14ac:dyDescent="0.2">
      <c r="A339" s="396"/>
      <c r="B339" s="396"/>
      <c r="C339" s="396"/>
      <c r="D339" s="310"/>
      <c r="E339" s="310"/>
      <c r="F339" s="310"/>
      <c r="G339" s="310"/>
      <c r="H339" s="310"/>
      <c r="I339" s="310"/>
      <c r="J339" s="396"/>
      <c r="K339" s="310"/>
      <c r="L339" s="310"/>
      <c r="M339" s="310"/>
      <c r="N339" s="310"/>
      <c r="O339" s="234"/>
      <c r="P339" s="234"/>
    </row>
    <row r="340" spans="1:16" x14ac:dyDescent="0.2">
      <c r="A340" s="396"/>
      <c r="B340" s="396"/>
      <c r="C340" s="396"/>
      <c r="D340" s="310"/>
      <c r="E340" s="310"/>
      <c r="F340" s="310"/>
      <c r="G340" s="310"/>
      <c r="H340" s="310"/>
      <c r="I340" s="310"/>
      <c r="J340" s="396"/>
      <c r="K340" s="310"/>
      <c r="L340" s="310"/>
      <c r="M340" s="310"/>
      <c r="N340" s="310"/>
      <c r="O340" s="234"/>
      <c r="P340" s="234"/>
    </row>
    <row r="341" spans="1:16" x14ac:dyDescent="0.2">
      <c r="A341" s="396"/>
      <c r="B341" s="396"/>
      <c r="C341" s="396"/>
      <c r="D341" s="310"/>
      <c r="E341" s="310"/>
      <c r="F341" s="310"/>
      <c r="G341" s="310"/>
      <c r="H341" s="310"/>
      <c r="I341" s="310"/>
      <c r="J341" s="396"/>
      <c r="K341" s="310"/>
      <c r="L341" s="310"/>
      <c r="M341" s="310"/>
      <c r="N341" s="310"/>
      <c r="O341" s="234"/>
      <c r="P341" s="234"/>
    </row>
    <row r="342" spans="1:16" x14ac:dyDescent="0.2">
      <c r="A342" s="396"/>
      <c r="B342" s="396"/>
      <c r="C342" s="396"/>
      <c r="D342" s="310"/>
      <c r="E342" s="310"/>
      <c r="F342" s="310"/>
      <c r="G342" s="310"/>
      <c r="H342" s="310"/>
      <c r="I342" s="310"/>
      <c r="J342" s="396"/>
      <c r="K342" s="310"/>
      <c r="L342" s="310"/>
      <c r="M342" s="310"/>
      <c r="N342" s="310"/>
      <c r="O342" s="234"/>
      <c r="P342" s="234"/>
    </row>
    <row r="343" spans="1:16" x14ac:dyDescent="0.2">
      <c r="A343" s="396"/>
      <c r="B343" s="396"/>
      <c r="C343" s="396"/>
      <c r="D343" s="310"/>
      <c r="E343" s="310"/>
      <c r="F343" s="310"/>
      <c r="G343" s="310"/>
      <c r="H343" s="310"/>
      <c r="I343" s="310"/>
      <c r="J343" s="396"/>
      <c r="K343" s="310"/>
      <c r="L343" s="310"/>
      <c r="M343" s="310"/>
      <c r="N343" s="310"/>
      <c r="O343" s="234"/>
      <c r="P343" s="234"/>
    </row>
    <row r="344" spans="1:16" x14ac:dyDescent="0.2">
      <c r="A344" s="396"/>
      <c r="B344" s="396"/>
      <c r="C344" s="396"/>
      <c r="D344" s="310"/>
      <c r="E344" s="310"/>
      <c r="F344" s="310"/>
      <c r="G344" s="310"/>
      <c r="H344" s="310"/>
      <c r="I344" s="310"/>
      <c r="J344" s="396"/>
      <c r="K344" s="310"/>
      <c r="L344" s="310"/>
      <c r="M344" s="310"/>
      <c r="N344" s="310"/>
      <c r="O344" s="234"/>
      <c r="P344" s="234"/>
    </row>
    <row r="345" spans="1:16" x14ac:dyDescent="0.2">
      <c r="A345" s="396"/>
      <c r="B345" s="396"/>
      <c r="C345" s="396"/>
      <c r="D345" s="310"/>
      <c r="E345" s="310"/>
      <c r="F345" s="310"/>
      <c r="G345" s="310"/>
      <c r="H345" s="310"/>
      <c r="I345" s="310"/>
      <c r="J345" s="396"/>
      <c r="K345" s="310"/>
      <c r="L345" s="310"/>
      <c r="M345" s="310"/>
      <c r="N345" s="310"/>
      <c r="O345" s="234"/>
      <c r="P345" s="234"/>
    </row>
    <row r="346" spans="1:16" x14ac:dyDescent="0.2">
      <c r="A346" s="396"/>
      <c r="B346" s="396"/>
      <c r="C346" s="396"/>
      <c r="D346" s="310"/>
      <c r="E346" s="310"/>
      <c r="F346" s="310"/>
      <c r="G346" s="310"/>
      <c r="H346" s="310"/>
      <c r="I346" s="310"/>
      <c r="J346" s="396"/>
      <c r="K346" s="310"/>
      <c r="L346" s="310"/>
      <c r="M346" s="310"/>
      <c r="N346" s="310"/>
      <c r="O346" s="234"/>
      <c r="P346" s="234"/>
    </row>
    <row r="347" spans="1:16" x14ac:dyDescent="0.2">
      <c r="A347" s="396"/>
      <c r="B347" s="396"/>
      <c r="C347" s="396"/>
      <c r="D347" s="310"/>
      <c r="E347" s="310"/>
      <c r="F347" s="310"/>
      <c r="G347" s="310"/>
      <c r="H347" s="310"/>
      <c r="I347" s="310"/>
      <c r="J347" s="396"/>
      <c r="K347" s="310"/>
      <c r="L347" s="310"/>
      <c r="M347" s="310"/>
      <c r="N347" s="310"/>
      <c r="O347" s="234"/>
      <c r="P347" s="234"/>
    </row>
    <row r="348" spans="1:16" x14ac:dyDescent="0.2">
      <c r="A348" s="396"/>
      <c r="B348" s="396"/>
      <c r="C348" s="396"/>
      <c r="D348" s="310"/>
      <c r="E348" s="310"/>
      <c r="F348" s="310"/>
      <c r="G348" s="310"/>
      <c r="H348" s="310"/>
      <c r="I348" s="310"/>
      <c r="J348" s="396"/>
      <c r="K348" s="310"/>
      <c r="L348" s="310"/>
      <c r="M348" s="310"/>
      <c r="N348" s="310"/>
      <c r="O348" s="234"/>
      <c r="P348" s="234"/>
    </row>
    <row r="349" spans="1:16" x14ac:dyDescent="0.2">
      <c r="A349" s="396"/>
      <c r="B349" s="396"/>
      <c r="C349" s="396"/>
      <c r="D349" s="310"/>
      <c r="E349" s="310"/>
      <c r="F349" s="310"/>
      <c r="G349" s="310"/>
      <c r="H349" s="310"/>
      <c r="I349" s="310"/>
      <c r="J349" s="396"/>
      <c r="K349" s="397"/>
      <c r="L349" s="397"/>
      <c r="M349" s="397"/>
      <c r="N349" s="310"/>
      <c r="O349" s="234"/>
      <c r="P349" s="234"/>
    </row>
    <row r="350" spans="1:16" x14ac:dyDescent="0.2">
      <c r="A350" s="396"/>
      <c r="B350" s="396"/>
      <c r="C350" s="396"/>
      <c r="D350" s="310"/>
      <c r="E350" s="310"/>
      <c r="F350" s="310"/>
      <c r="G350" s="310"/>
      <c r="H350" s="310"/>
      <c r="I350" s="310"/>
      <c r="J350" s="225"/>
      <c r="K350" s="397"/>
      <c r="L350" s="397"/>
      <c r="M350" s="397"/>
      <c r="N350" s="225"/>
      <c r="O350" s="234"/>
      <c r="P350" s="234"/>
    </row>
    <row r="351" spans="1:16" x14ac:dyDescent="0.2">
      <c r="A351" s="396"/>
      <c r="B351" s="396"/>
      <c r="C351" s="396"/>
      <c r="D351" s="310"/>
      <c r="E351" s="310"/>
      <c r="F351" s="310"/>
      <c r="G351" s="310"/>
      <c r="H351" s="310"/>
      <c r="I351" s="310"/>
      <c r="J351" s="225"/>
      <c r="K351" s="397"/>
      <c r="L351" s="397"/>
      <c r="M351" s="397"/>
      <c r="N351" s="225"/>
      <c r="O351" s="234"/>
      <c r="P351" s="234"/>
    </row>
    <row r="352" spans="1:16" x14ac:dyDescent="0.2">
      <c r="A352" s="396"/>
      <c r="B352" s="396"/>
      <c r="C352" s="396"/>
      <c r="D352" s="310"/>
      <c r="E352" s="310"/>
      <c r="F352" s="310"/>
      <c r="G352" s="310"/>
      <c r="H352" s="310"/>
      <c r="I352" s="310"/>
      <c r="J352" s="225"/>
      <c r="K352" s="397"/>
      <c r="L352" s="397"/>
      <c r="M352" s="397"/>
      <c r="N352" s="225"/>
      <c r="O352" s="234"/>
      <c r="P352" s="234"/>
    </row>
    <row r="353" spans="1:16" x14ac:dyDescent="0.2">
      <c r="A353" s="225"/>
      <c r="B353" s="225"/>
      <c r="C353" s="225"/>
      <c r="D353" s="225"/>
      <c r="E353" s="225"/>
      <c r="F353" s="225"/>
      <c r="G353" s="225"/>
      <c r="H353" s="225"/>
      <c r="I353" s="225"/>
      <c r="J353" s="225"/>
      <c r="K353" s="397"/>
      <c r="L353" s="397"/>
      <c r="M353" s="397"/>
      <c r="N353" s="225"/>
      <c r="O353" s="234"/>
      <c r="P353" s="234"/>
    </row>
    <row r="354" spans="1:16" x14ac:dyDescent="0.2">
      <c r="A354" s="225"/>
      <c r="B354" s="225"/>
      <c r="C354" s="225"/>
      <c r="D354" s="225"/>
      <c r="E354" s="225"/>
      <c r="F354" s="225"/>
      <c r="G354" s="225"/>
      <c r="H354" s="225"/>
      <c r="I354" s="225"/>
      <c r="J354" s="225"/>
      <c r="K354" s="399"/>
      <c r="L354" s="399"/>
      <c r="M354" s="397"/>
      <c r="N354" s="225"/>
      <c r="O354" s="234"/>
      <c r="P354" s="234"/>
    </row>
    <row r="355" spans="1:16" x14ac:dyDescent="0.2">
      <c r="A355" s="401"/>
      <c r="B355" s="401"/>
      <c r="C355" s="401"/>
      <c r="D355" s="225"/>
      <c r="E355" s="225"/>
      <c r="F355" s="225"/>
      <c r="G355" s="225"/>
      <c r="H355" s="225"/>
      <c r="I355" s="225"/>
      <c r="J355" s="401"/>
      <c r="K355" s="399"/>
      <c r="L355" s="399"/>
      <c r="M355" s="397"/>
      <c r="N355" s="225"/>
      <c r="O355" s="234"/>
      <c r="P355" s="234"/>
    </row>
    <row r="356" spans="1:16" x14ac:dyDescent="0.2">
      <c r="A356" s="401"/>
      <c r="B356" s="401"/>
      <c r="C356" s="401"/>
      <c r="D356" s="225"/>
      <c r="E356" s="225"/>
      <c r="F356" s="225"/>
      <c r="G356" s="225"/>
      <c r="H356" s="225"/>
      <c r="I356" s="225"/>
      <c r="J356" s="401"/>
      <c r="K356" s="397"/>
      <c r="L356" s="397"/>
      <c r="M356" s="397"/>
      <c r="N356" s="225"/>
      <c r="O356" s="234"/>
      <c r="P356" s="234"/>
    </row>
    <row r="357" spans="1:16" x14ac:dyDescent="0.2">
      <c r="A357" s="225"/>
      <c r="B357" s="225"/>
      <c r="C357" s="225"/>
      <c r="D357" s="225"/>
      <c r="E357" s="225"/>
      <c r="F357" s="225"/>
      <c r="G357" s="225"/>
      <c r="H357" s="225"/>
      <c r="I357" s="225"/>
      <c r="J357" s="225"/>
      <c r="K357" s="411"/>
      <c r="L357" s="411"/>
      <c r="M357" s="411"/>
      <c r="N357" s="225"/>
      <c r="O357" s="234"/>
      <c r="P357" s="234"/>
    </row>
    <row r="358" spans="1:16" x14ac:dyDescent="0.2">
      <c r="A358" s="406"/>
      <c r="B358" s="406"/>
      <c r="C358" s="406"/>
      <c r="D358" s="406"/>
      <c r="E358" s="406"/>
      <c r="F358" s="406"/>
      <c r="G358" s="406"/>
      <c r="H358" s="406"/>
      <c r="I358" s="406"/>
      <c r="J358" s="406"/>
      <c r="K358" s="411"/>
      <c r="L358" s="411"/>
      <c r="M358" s="411"/>
      <c r="N358" s="406"/>
      <c r="O358" s="234"/>
      <c r="P358" s="234"/>
    </row>
    <row r="359" spans="1:16" x14ac:dyDescent="0.2">
      <c r="A359" s="406"/>
      <c r="B359" s="406"/>
      <c r="C359" s="406"/>
      <c r="D359" s="406"/>
      <c r="E359" s="406"/>
      <c r="F359" s="406"/>
      <c r="G359" s="406"/>
      <c r="H359" s="406"/>
      <c r="I359" s="406"/>
      <c r="J359" s="406"/>
      <c r="K359" s="310"/>
      <c r="L359" s="310"/>
      <c r="M359" s="310"/>
      <c r="N359" s="406"/>
      <c r="O359" s="234"/>
      <c r="P359" s="234"/>
    </row>
    <row r="360" spans="1:16" x14ac:dyDescent="0.2">
      <c r="A360" s="396"/>
      <c r="B360" s="396"/>
      <c r="C360" s="396"/>
      <c r="D360" s="310"/>
      <c r="E360" s="310"/>
      <c r="F360" s="310"/>
      <c r="G360" s="310"/>
      <c r="H360" s="310"/>
      <c r="I360" s="310"/>
      <c r="J360" s="396"/>
      <c r="K360" s="310"/>
      <c r="L360" s="310"/>
      <c r="M360" s="310"/>
      <c r="N360" s="310"/>
      <c r="O360" s="234"/>
      <c r="P360" s="234"/>
    </row>
    <row r="361" spans="1:16" x14ac:dyDescent="0.2">
      <c r="A361" s="396"/>
      <c r="B361" s="396"/>
      <c r="C361" s="396"/>
      <c r="D361" s="310"/>
      <c r="E361" s="310"/>
      <c r="F361" s="310"/>
      <c r="G361" s="310"/>
      <c r="H361" s="310"/>
      <c r="I361" s="310"/>
      <c r="J361" s="396"/>
      <c r="K361" s="310"/>
      <c r="L361" s="310"/>
      <c r="M361" s="310"/>
      <c r="N361" s="310"/>
      <c r="O361" s="234"/>
      <c r="P361" s="234"/>
    </row>
    <row r="362" spans="1:16" x14ac:dyDescent="0.2">
      <c r="A362" s="396"/>
      <c r="B362" s="396"/>
      <c r="C362" s="396"/>
      <c r="D362" s="310"/>
      <c r="E362" s="310"/>
      <c r="F362" s="310"/>
      <c r="G362" s="310"/>
      <c r="H362" s="310"/>
      <c r="I362" s="310"/>
      <c r="J362" s="396"/>
      <c r="K362" s="310"/>
      <c r="L362" s="310"/>
      <c r="M362" s="310"/>
      <c r="N362" s="310"/>
      <c r="O362" s="234"/>
      <c r="P362" s="234"/>
    </row>
    <row r="363" spans="1:16" x14ac:dyDescent="0.2">
      <c r="A363" s="396"/>
      <c r="B363" s="396"/>
      <c r="C363" s="396"/>
      <c r="D363" s="310"/>
      <c r="E363" s="310"/>
      <c r="F363" s="310"/>
      <c r="G363" s="310"/>
      <c r="H363" s="310"/>
      <c r="I363" s="310"/>
      <c r="J363" s="396"/>
      <c r="K363" s="310"/>
      <c r="L363" s="310"/>
      <c r="M363" s="310"/>
      <c r="N363" s="310"/>
      <c r="O363" s="234"/>
      <c r="P363" s="234"/>
    </row>
    <row r="364" spans="1:16" x14ac:dyDescent="0.2">
      <c r="A364" s="396"/>
      <c r="B364" s="396"/>
      <c r="C364" s="396"/>
      <c r="D364" s="310"/>
      <c r="E364" s="310"/>
      <c r="F364" s="310"/>
      <c r="G364" s="310"/>
      <c r="H364" s="310"/>
      <c r="I364" s="310"/>
      <c r="J364" s="396"/>
      <c r="K364" s="310"/>
      <c r="L364" s="310"/>
      <c r="M364" s="310"/>
      <c r="N364" s="310"/>
      <c r="O364" s="234"/>
      <c r="P364" s="234"/>
    </row>
    <row r="365" spans="1:16" x14ac:dyDescent="0.2">
      <c r="A365" s="396"/>
      <c r="B365" s="396"/>
      <c r="C365" s="396"/>
      <c r="D365" s="310"/>
      <c r="E365" s="310"/>
      <c r="F365" s="310"/>
      <c r="G365" s="310"/>
      <c r="H365" s="310"/>
      <c r="I365" s="310"/>
      <c r="J365" s="396"/>
      <c r="K365" s="310"/>
      <c r="L365" s="310"/>
      <c r="M365" s="310"/>
      <c r="N365" s="310"/>
      <c r="O365" s="234"/>
      <c r="P365" s="234"/>
    </row>
    <row r="366" spans="1:16" x14ac:dyDescent="0.2">
      <c r="A366" s="396"/>
      <c r="B366" s="396"/>
      <c r="C366" s="396"/>
      <c r="D366" s="310"/>
      <c r="E366" s="310"/>
      <c r="F366" s="310"/>
      <c r="G366" s="310"/>
      <c r="H366" s="310"/>
      <c r="I366" s="310"/>
      <c r="J366" s="396"/>
      <c r="K366" s="310"/>
      <c r="L366" s="310"/>
      <c r="M366" s="310"/>
      <c r="N366" s="310"/>
      <c r="O366" s="234"/>
      <c r="P366" s="234"/>
    </row>
    <row r="367" spans="1:16" x14ac:dyDescent="0.2">
      <c r="A367" s="396"/>
      <c r="B367" s="396"/>
      <c r="C367" s="396"/>
      <c r="D367" s="310"/>
      <c r="E367" s="310"/>
      <c r="F367" s="310"/>
      <c r="G367" s="310"/>
      <c r="H367" s="310"/>
      <c r="I367" s="310"/>
      <c r="J367" s="396"/>
      <c r="K367" s="310"/>
      <c r="L367" s="310"/>
      <c r="M367" s="310"/>
      <c r="N367" s="310"/>
      <c r="O367" s="234"/>
      <c r="P367" s="234"/>
    </row>
    <row r="368" spans="1:16" x14ac:dyDescent="0.2">
      <c r="A368" s="396"/>
      <c r="B368" s="396"/>
      <c r="C368" s="396"/>
      <c r="D368" s="310"/>
      <c r="E368" s="310"/>
      <c r="F368" s="310"/>
      <c r="G368" s="310"/>
      <c r="H368" s="310"/>
      <c r="I368" s="310"/>
      <c r="J368" s="396"/>
      <c r="K368" s="310"/>
      <c r="L368" s="310"/>
      <c r="M368" s="310"/>
      <c r="N368" s="310"/>
      <c r="O368" s="234"/>
      <c r="P368" s="234"/>
    </row>
    <row r="369" spans="1:16" x14ac:dyDescent="0.2">
      <c r="A369" s="396"/>
      <c r="B369" s="396"/>
      <c r="C369" s="396"/>
      <c r="D369" s="310"/>
      <c r="E369" s="310"/>
      <c r="F369" s="310"/>
      <c r="G369" s="310"/>
      <c r="H369" s="310"/>
      <c r="I369" s="310"/>
      <c r="J369" s="396"/>
      <c r="K369" s="310"/>
      <c r="L369" s="310"/>
      <c r="M369" s="310"/>
      <c r="N369" s="310"/>
      <c r="O369" s="234"/>
      <c r="P369" s="234"/>
    </row>
    <row r="370" spans="1:16" x14ac:dyDescent="0.2">
      <c r="A370" s="396"/>
      <c r="B370" s="396"/>
      <c r="C370" s="396"/>
      <c r="D370" s="310"/>
      <c r="E370" s="310"/>
      <c r="F370" s="310"/>
      <c r="G370" s="310"/>
      <c r="H370" s="310"/>
      <c r="I370" s="310"/>
      <c r="J370" s="396"/>
      <c r="K370" s="310"/>
      <c r="L370" s="310"/>
      <c r="M370" s="310"/>
      <c r="N370" s="310"/>
      <c r="O370" s="234"/>
      <c r="P370" s="234"/>
    </row>
    <row r="371" spans="1:16" x14ac:dyDescent="0.2">
      <c r="A371" s="396"/>
      <c r="B371" s="396"/>
      <c r="C371" s="396"/>
      <c r="D371" s="310"/>
      <c r="E371" s="310"/>
      <c r="F371" s="310"/>
      <c r="G371" s="310"/>
      <c r="H371" s="310"/>
      <c r="I371" s="310"/>
      <c r="J371" s="396"/>
      <c r="K371" s="310"/>
      <c r="L371" s="310"/>
      <c r="M371" s="310"/>
      <c r="N371" s="310"/>
      <c r="O371" s="234"/>
      <c r="P371" s="234"/>
    </row>
    <row r="372" spans="1:16" x14ac:dyDescent="0.2">
      <c r="A372" s="396"/>
      <c r="B372" s="396"/>
      <c r="C372" s="396"/>
      <c r="D372" s="310"/>
      <c r="E372" s="310"/>
      <c r="F372" s="310"/>
      <c r="G372" s="310"/>
      <c r="H372" s="310"/>
      <c r="I372" s="310"/>
      <c r="J372" s="396"/>
      <c r="K372" s="310"/>
      <c r="L372" s="310"/>
      <c r="M372" s="310"/>
      <c r="N372" s="310"/>
      <c r="O372" s="234"/>
      <c r="P372" s="234"/>
    </row>
    <row r="373" spans="1:16" x14ac:dyDescent="0.2">
      <c r="A373" s="396"/>
      <c r="B373" s="396"/>
      <c r="C373" s="396"/>
      <c r="D373" s="310"/>
      <c r="E373" s="310"/>
      <c r="F373" s="310"/>
      <c r="G373" s="310"/>
      <c r="H373" s="310"/>
      <c r="I373" s="310"/>
      <c r="J373" s="396"/>
      <c r="K373" s="310"/>
      <c r="L373" s="310"/>
      <c r="M373" s="310"/>
      <c r="N373" s="310"/>
      <c r="O373" s="234"/>
      <c r="P373" s="234"/>
    </row>
    <row r="374" spans="1:16" x14ac:dyDescent="0.2">
      <c r="A374" s="396"/>
      <c r="B374" s="396"/>
      <c r="C374" s="396"/>
      <c r="D374" s="310"/>
      <c r="E374" s="310"/>
      <c r="F374" s="310"/>
      <c r="G374" s="310"/>
      <c r="H374" s="310"/>
      <c r="I374" s="310"/>
      <c r="J374" s="396"/>
      <c r="K374" s="310"/>
      <c r="L374" s="310"/>
      <c r="M374" s="310"/>
      <c r="N374" s="310"/>
      <c r="O374" s="234"/>
      <c r="P374" s="234"/>
    </row>
    <row r="375" spans="1:16" x14ac:dyDescent="0.2">
      <c r="A375" s="396"/>
      <c r="B375" s="396"/>
      <c r="C375" s="396"/>
      <c r="D375" s="310"/>
      <c r="E375" s="310"/>
      <c r="F375" s="310"/>
      <c r="G375" s="310"/>
      <c r="H375" s="310"/>
      <c r="I375" s="310"/>
      <c r="J375" s="396"/>
      <c r="K375" s="310"/>
      <c r="L375" s="310"/>
      <c r="M375" s="310"/>
      <c r="N375" s="310"/>
      <c r="O375" s="234"/>
      <c r="P375" s="234"/>
    </row>
    <row r="376" spans="1:16" x14ac:dyDescent="0.2">
      <c r="A376" s="396"/>
      <c r="B376" s="396"/>
      <c r="C376" s="396"/>
      <c r="D376" s="310"/>
      <c r="E376" s="310"/>
      <c r="F376" s="310"/>
      <c r="G376" s="310"/>
      <c r="H376" s="310"/>
      <c r="I376" s="310"/>
      <c r="J376" s="396"/>
      <c r="K376" s="310"/>
      <c r="L376" s="310"/>
      <c r="M376" s="310"/>
      <c r="N376" s="310"/>
      <c r="O376" s="234"/>
      <c r="P376" s="234"/>
    </row>
    <row r="377" spans="1:16" x14ac:dyDescent="0.2">
      <c r="A377" s="396"/>
      <c r="B377" s="396"/>
      <c r="C377" s="396"/>
      <c r="D377" s="310"/>
      <c r="E377" s="310"/>
      <c r="F377" s="310"/>
      <c r="G377" s="310"/>
      <c r="H377" s="310"/>
      <c r="I377" s="310"/>
      <c r="J377" s="396"/>
      <c r="K377" s="397"/>
      <c r="L377" s="397"/>
      <c r="M377" s="397"/>
      <c r="N377" s="310"/>
      <c r="O377" s="234"/>
      <c r="P377" s="234"/>
    </row>
    <row r="378" spans="1:16" x14ac:dyDescent="0.2">
      <c r="A378" s="396"/>
      <c r="B378" s="396"/>
      <c r="C378" s="396"/>
      <c r="D378" s="310"/>
      <c r="E378" s="310"/>
      <c r="F378" s="310"/>
      <c r="G378" s="310"/>
      <c r="H378" s="310"/>
      <c r="I378" s="310"/>
      <c r="J378" s="225"/>
      <c r="K378" s="397"/>
      <c r="L378" s="397"/>
      <c r="M378" s="397"/>
      <c r="N378" s="225"/>
      <c r="O378" s="234"/>
      <c r="P378" s="234"/>
    </row>
    <row r="379" spans="1:16" x14ac:dyDescent="0.2">
      <c r="A379" s="396"/>
      <c r="B379" s="396"/>
      <c r="C379" s="396"/>
      <c r="D379" s="310"/>
      <c r="E379" s="310"/>
      <c r="F379" s="310"/>
      <c r="G379" s="310"/>
      <c r="H379" s="310"/>
      <c r="I379" s="310"/>
      <c r="J379" s="225"/>
      <c r="K379" s="397"/>
      <c r="L379" s="397"/>
      <c r="M379" s="397"/>
      <c r="N379" s="225"/>
      <c r="O379" s="234"/>
      <c r="P379" s="234"/>
    </row>
    <row r="380" spans="1:16" x14ac:dyDescent="0.2">
      <c r="A380" s="396"/>
      <c r="B380" s="396"/>
      <c r="C380" s="396"/>
      <c r="D380" s="310"/>
      <c r="E380" s="310"/>
      <c r="F380" s="310"/>
      <c r="G380" s="310"/>
      <c r="H380" s="310"/>
      <c r="I380" s="310"/>
      <c r="J380" s="225"/>
      <c r="K380" s="397"/>
      <c r="L380" s="397"/>
      <c r="M380" s="397"/>
      <c r="N380" s="225"/>
      <c r="O380" s="234"/>
      <c r="P380" s="234"/>
    </row>
    <row r="381" spans="1:16" x14ac:dyDescent="0.2">
      <c r="A381" s="225"/>
      <c r="B381" s="225"/>
      <c r="C381" s="225"/>
      <c r="D381" s="225"/>
      <c r="E381" s="225"/>
      <c r="F381" s="225"/>
      <c r="G381" s="225"/>
      <c r="H381" s="225"/>
      <c r="I381" s="225"/>
      <c r="J381" s="225"/>
      <c r="K381" s="399"/>
      <c r="L381" s="399"/>
      <c r="M381" s="397"/>
      <c r="N381" s="225"/>
      <c r="O381" s="234"/>
      <c r="P381" s="234"/>
    </row>
    <row r="382" spans="1:16" x14ac:dyDescent="0.2">
      <c r="A382" s="401"/>
      <c r="B382" s="401"/>
      <c r="C382" s="401"/>
      <c r="D382" s="225"/>
      <c r="E382" s="225"/>
      <c r="F382" s="225"/>
      <c r="G382" s="225"/>
      <c r="H382" s="225"/>
      <c r="I382" s="225"/>
      <c r="J382" s="401"/>
      <c r="K382" s="399"/>
      <c r="L382" s="399"/>
      <c r="M382" s="397"/>
      <c r="N382" s="225"/>
      <c r="O382" s="234"/>
      <c r="P382" s="234"/>
    </row>
    <row r="383" spans="1:16" x14ac:dyDescent="0.2">
      <c r="A383" s="401"/>
      <c r="B383" s="401"/>
      <c r="C383" s="401"/>
      <c r="D383" s="225"/>
      <c r="E383" s="225"/>
      <c r="F383" s="225"/>
      <c r="G383" s="225"/>
      <c r="H383" s="225"/>
      <c r="I383" s="225"/>
      <c r="J383" s="401"/>
      <c r="K383" s="397"/>
      <c r="L383" s="397"/>
      <c r="M383" s="397"/>
      <c r="N383" s="225"/>
      <c r="O383" s="234"/>
      <c r="P383" s="234"/>
    </row>
    <row r="384" spans="1:16" x14ac:dyDescent="0.2">
      <c r="A384" s="225"/>
      <c r="B384" s="225"/>
      <c r="C384" s="225"/>
      <c r="D384" s="225"/>
      <c r="E384" s="225"/>
      <c r="F384" s="225"/>
      <c r="G384" s="225"/>
      <c r="H384" s="225"/>
      <c r="I384" s="225"/>
      <c r="J384" s="225"/>
      <c r="K384" s="411"/>
      <c r="L384" s="411"/>
      <c r="M384" s="411"/>
      <c r="N384" s="225"/>
      <c r="O384" s="234"/>
      <c r="P384" s="234"/>
    </row>
    <row r="385" spans="1:16" x14ac:dyDescent="0.2">
      <c r="A385" s="406"/>
      <c r="B385" s="406"/>
      <c r="C385" s="406"/>
      <c r="D385" s="406"/>
      <c r="E385" s="406"/>
      <c r="F385" s="406"/>
      <c r="G385" s="406"/>
      <c r="H385" s="406"/>
      <c r="I385" s="406"/>
      <c r="J385" s="406"/>
      <c r="K385" s="411"/>
      <c r="L385" s="411"/>
      <c r="M385" s="411"/>
      <c r="N385" s="406"/>
      <c r="O385" s="234"/>
      <c r="P385" s="234"/>
    </row>
    <row r="386" spans="1:16" x14ac:dyDescent="0.2">
      <c r="A386" s="406"/>
      <c r="B386" s="406"/>
      <c r="C386" s="406"/>
      <c r="D386" s="406"/>
      <c r="E386" s="406"/>
      <c r="F386" s="406"/>
      <c r="G386" s="406"/>
      <c r="H386" s="406"/>
      <c r="I386" s="406"/>
      <c r="J386" s="406"/>
      <c r="K386" s="310"/>
      <c r="L386" s="310"/>
      <c r="M386" s="310"/>
      <c r="N386" s="406"/>
      <c r="O386" s="234"/>
      <c r="P386" s="234"/>
    </row>
    <row r="387" spans="1:16" x14ac:dyDescent="0.2">
      <c r="A387" s="396"/>
      <c r="B387" s="396"/>
      <c r="C387" s="396"/>
      <c r="D387" s="310"/>
      <c r="E387" s="310"/>
      <c r="F387" s="310"/>
      <c r="G387" s="310"/>
      <c r="H387" s="310"/>
      <c r="I387" s="310"/>
      <c r="J387" s="396"/>
      <c r="K387" s="310"/>
      <c r="L387" s="310"/>
      <c r="M387" s="310"/>
      <c r="N387" s="310"/>
      <c r="O387" s="234"/>
      <c r="P387" s="234"/>
    </row>
    <row r="388" spans="1:16" x14ac:dyDescent="0.2">
      <c r="A388" s="396"/>
      <c r="B388" s="396"/>
      <c r="C388" s="396"/>
      <c r="D388" s="310"/>
      <c r="E388" s="310"/>
      <c r="F388" s="310"/>
      <c r="G388" s="310"/>
      <c r="H388" s="310"/>
      <c r="I388" s="310"/>
      <c r="J388" s="396"/>
      <c r="K388" s="310"/>
      <c r="L388" s="310"/>
      <c r="M388" s="310"/>
      <c r="N388" s="310"/>
      <c r="O388" s="234"/>
      <c r="P388" s="234"/>
    </row>
    <row r="389" spans="1:16" x14ac:dyDescent="0.2">
      <c r="A389" s="396"/>
      <c r="B389" s="396"/>
      <c r="C389" s="396"/>
      <c r="D389" s="310"/>
      <c r="E389" s="310"/>
      <c r="F389" s="310"/>
      <c r="G389" s="310"/>
      <c r="H389" s="310"/>
      <c r="I389" s="310"/>
      <c r="J389" s="396"/>
      <c r="K389" s="310"/>
      <c r="L389" s="310"/>
      <c r="M389" s="310"/>
      <c r="N389" s="310"/>
      <c r="O389" s="234"/>
      <c r="P389" s="234"/>
    </row>
    <row r="390" spans="1:16" x14ac:dyDescent="0.2">
      <c r="A390" s="396"/>
      <c r="B390" s="396"/>
      <c r="C390" s="396"/>
      <c r="D390" s="310"/>
      <c r="E390" s="310"/>
      <c r="F390" s="310"/>
      <c r="G390" s="310"/>
      <c r="H390" s="310"/>
      <c r="I390" s="310"/>
      <c r="J390" s="396"/>
      <c r="K390" s="310"/>
      <c r="L390" s="310"/>
      <c r="M390" s="310"/>
      <c r="N390" s="310"/>
      <c r="O390" s="234"/>
      <c r="P390" s="234"/>
    </row>
    <row r="391" spans="1:16" x14ac:dyDescent="0.2">
      <c r="A391" s="396"/>
      <c r="B391" s="396"/>
      <c r="C391" s="396"/>
      <c r="D391" s="310"/>
      <c r="E391" s="310"/>
      <c r="F391" s="310"/>
      <c r="G391" s="310"/>
      <c r="H391" s="310"/>
      <c r="I391" s="310"/>
      <c r="J391" s="396"/>
      <c r="K391" s="310"/>
      <c r="L391" s="310"/>
      <c r="M391" s="310"/>
      <c r="N391" s="310"/>
      <c r="O391" s="234"/>
      <c r="P391" s="234"/>
    </row>
    <row r="392" spans="1:16" x14ac:dyDescent="0.2">
      <c r="A392" s="396"/>
      <c r="B392" s="396"/>
      <c r="C392" s="396"/>
      <c r="D392" s="310"/>
      <c r="E392" s="310"/>
      <c r="F392" s="310"/>
      <c r="G392" s="310"/>
      <c r="H392" s="310"/>
      <c r="I392" s="310"/>
      <c r="J392" s="396"/>
      <c r="K392" s="310"/>
      <c r="L392" s="310"/>
      <c r="M392" s="310"/>
      <c r="N392" s="310"/>
      <c r="O392" s="234"/>
      <c r="P392" s="234"/>
    </row>
    <row r="393" spans="1:16" x14ac:dyDescent="0.2">
      <c r="A393" s="396"/>
      <c r="B393" s="396"/>
      <c r="C393" s="396"/>
      <c r="D393" s="310"/>
      <c r="E393" s="310"/>
      <c r="F393" s="310"/>
      <c r="G393" s="310"/>
      <c r="H393" s="310"/>
      <c r="I393" s="310"/>
      <c r="J393" s="396"/>
      <c r="K393" s="310"/>
      <c r="L393" s="310"/>
      <c r="M393" s="310"/>
      <c r="N393" s="310"/>
      <c r="O393" s="234"/>
      <c r="P393" s="234"/>
    </row>
    <row r="394" spans="1:16" x14ac:dyDescent="0.2">
      <c r="A394" s="396"/>
      <c r="B394" s="396"/>
      <c r="C394" s="396"/>
      <c r="D394" s="310"/>
      <c r="E394" s="310"/>
      <c r="F394" s="310"/>
      <c r="G394" s="310"/>
      <c r="H394" s="310"/>
      <c r="I394" s="310"/>
      <c r="J394" s="396"/>
      <c r="K394" s="310"/>
      <c r="L394" s="310"/>
      <c r="M394" s="310"/>
      <c r="N394" s="310"/>
      <c r="O394" s="234"/>
      <c r="P394" s="234"/>
    </row>
    <row r="395" spans="1:16" x14ac:dyDescent="0.2">
      <c r="A395" s="396"/>
      <c r="B395" s="396"/>
      <c r="C395" s="396"/>
      <c r="D395" s="310"/>
      <c r="E395" s="310"/>
      <c r="F395" s="310"/>
      <c r="G395" s="310"/>
      <c r="H395" s="310"/>
      <c r="I395" s="310"/>
      <c r="J395" s="396"/>
      <c r="K395" s="310"/>
      <c r="L395" s="310"/>
      <c r="M395" s="310"/>
      <c r="N395" s="310"/>
      <c r="O395" s="234"/>
      <c r="P395" s="234"/>
    </row>
    <row r="396" spans="1:16" x14ac:dyDescent="0.2">
      <c r="A396" s="396"/>
      <c r="B396" s="396"/>
      <c r="C396" s="396"/>
      <c r="D396" s="310"/>
      <c r="E396" s="310"/>
      <c r="F396" s="310"/>
      <c r="G396" s="310"/>
      <c r="H396" s="310"/>
      <c r="I396" s="310"/>
      <c r="J396" s="396"/>
      <c r="K396" s="310"/>
      <c r="L396" s="310"/>
      <c r="M396" s="310"/>
      <c r="N396" s="310"/>
      <c r="O396" s="234"/>
      <c r="P396" s="234"/>
    </row>
    <row r="397" spans="1:16" x14ac:dyDescent="0.2">
      <c r="A397" s="396"/>
      <c r="B397" s="396"/>
      <c r="C397" s="396"/>
      <c r="D397" s="310"/>
      <c r="E397" s="310"/>
      <c r="F397" s="310"/>
      <c r="G397" s="310"/>
      <c r="H397" s="310"/>
      <c r="I397" s="310"/>
      <c r="J397" s="396"/>
      <c r="K397" s="310"/>
      <c r="L397" s="310"/>
      <c r="M397" s="310"/>
      <c r="N397" s="310"/>
      <c r="O397" s="234"/>
      <c r="P397" s="234"/>
    </row>
    <row r="398" spans="1:16" x14ac:dyDescent="0.2">
      <c r="A398" s="396"/>
      <c r="B398" s="396"/>
      <c r="C398" s="396"/>
      <c r="D398" s="310"/>
      <c r="E398" s="310"/>
      <c r="F398" s="310"/>
      <c r="G398" s="310"/>
      <c r="H398" s="310"/>
      <c r="I398" s="310"/>
      <c r="J398" s="396"/>
      <c r="K398" s="310"/>
      <c r="L398" s="310"/>
      <c r="M398" s="310"/>
      <c r="N398" s="310"/>
      <c r="O398" s="234"/>
      <c r="P398" s="234"/>
    </row>
    <row r="399" spans="1:16" x14ac:dyDescent="0.2">
      <c r="A399" s="396"/>
      <c r="B399" s="396"/>
      <c r="C399" s="396"/>
      <c r="D399" s="310"/>
      <c r="E399" s="310"/>
      <c r="F399" s="310"/>
      <c r="G399" s="310"/>
      <c r="H399" s="310"/>
      <c r="I399" s="310"/>
      <c r="J399" s="396"/>
      <c r="K399" s="310"/>
      <c r="L399" s="310"/>
      <c r="M399" s="310"/>
      <c r="N399" s="310"/>
      <c r="O399" s="234"/>
      <c r="P399" s="234"/>
    </row>
    <row r="400" spans="1:16" x14ac:dyDescent="0.2">
      <c r="A400" s="396"/>
      <c r="B400" s="396"/>
      <c r="C400" s="396"/>
      <c r="D400" s="310"/>
      <c r="E400" s="310"/>
      <c r="F400" s="310"/>
      <c r="G400" s="310"/>
      <c r="H400" s="310"/>
      <c r="I400" s="310"/>
      <c r="J400" s="396"/>
      <c r="K400" s="310"/>
      <c r="L400" s="310"/>
      <c r="M400" s="310"/>
      <c r="N400" s="310"/>
      <c r="O400" s="234"/>
      <c r="P400" s="234"/>
    </row>
    <row r="401" spans="1:16" x14ac:dyDescent="0.2">
      <c r="A401" s="396"/>
      <c r="B401" s="396"/>
      <c r="C401" s="396"/>
      <c r="D401" s="310"/>
      <c r="E401" s="310"/>
      <c r="F401" s="310"/>
      <c r="G401" s="310"/>
      <c r="H401" s="310"/>
      <c r="I401" s="310"/>
      <c r="J401" s="396"/>
      <c r="K401" s="310"/>
      <c r="L401" s="310"/>
      <c r="M401" s="310"/>
      <c r="N401" s="310"/>
      <c r="O401" s="234"/>
      <c r="P401" s="234"/>
    </row>
    <row r="402" spans="1:16" x14ac:dyDescent="0.2">
      <c r="A402" s="396"/>
      <c r="B402" s="396"/>
      <c r="C402" s="396"/>
      <c r="D402" s="310"/>
      <c r="E402" s="310"/>
      <c r="F402" s="310"/>
      <c r="G402" s="310"/>
      <c r="H402" s="310"/>
      <c r="I402" s="310"/>
      <c r="J402" s="396"/>
      <c r="K402" s="310"/>
      <c r="L402" s="310"/>
      <c r="M402" s="310"/>
      <c r="N402" s="310"/>
      <c r="O402" s="234"/>
      <c r="P402" s="234"/>
    </row>
    <row r="403" spans="1:16" x14ac:dyDescent="0.2">
      <c r="A403" s="396"/>
      <c r="B403" s="396"/>
      <c r="C403" s="396"/>
      <c r="D403" s="310"/>
      <c r="E403" s="310"/>
      <c r="F403" s="310"/>
      <c r="G403" s="310"/>
      <c r="H403" s="310"/>
      <c r="I403" s="310"/>
      <c r="J403" s="396"/>
      <c r="K403" s="310"/>
      <c r="L403" s="310"/>
      <c r="M403" s="310"/>
      <c r="N403" s="310"/>
      <c r="O403" s="234"/>
      <c r="P403" s="234"/>
    </row>
    <row r="404" spans="1:16" x14ac:dyDescent="0.2">
      <c r="A404" s="396"/>
      <c r="B404" s="396"/>
      <c r="C404" s="396"/>
      <c r="D404" s="310"/>
      <c r="E404" s="310"/>
      <c r="F404" s="310"/>
      <c r="G404" s="310"/>
      <c r="H404" s="310"/>
      <c r="I404" s="310"/>
      <c r="J404" s="396"/>
      <c r="K404" s="397"/>
      <c r="L404" s="397"/>
      <c r="M404" s="397"/>
      <c r="N404" s="310"/>
      <c r="O404" s="234"/>
      <c r="P404" s="234"/>
    </row>
    <row r="405" spans="1:16" x14ac:dyDescent="0.2">
      <c r="A405" s="396"/>
      <c r="B405" s="396"/>
      <c r="C405" s="396"/>
      <c r="D405" s="310"/>
      <c r="E405" s="310"/>
      <c r="F405" s="310"/>
      <c r="G405" s="310"/>
      <c r="H405" s="310"/>
      <c r="I405" s="310"/>
      <c r="J405" s="225"/>
      <c r="K405" s="397"/>
      <c r="L405" s="397"/>
      <c r="M405" s="397"/>
      <c r="N405" s="225"/>
      <c r="O405" s="234"/>
      <c r="P405" s="234"/>
    </row>
    <row r="406" spans="1:16" x14ac:dyDescent="0.2">
      <c r="A406" s="396"/>
      <c r="B406" s="396"/>
      <c r="C406" s="396"/>
      <c r="D406" s="310"/>
      <c r="E406" s="310"/>
      <c r="F406" s="310"/>
      <c r="G406" s="310"/>
      <c r="H406" s="310"/>
      <c r="I406" s="310"/>
      <c r="J406" s="225"/>
      <c r="K406" s="397"/>
      <c r="L406" s="397"/>
      <c r="M406" s="397"/>
      <c r="N406" s="225"/>
      <c r="O406" s="234"/>
      <c r="P406" s="234"/>
    </row>
    <row r="407" spans="1:16" x14ac:dyDescent="0.2">
      <c r="A407" s="396"/>
      <c r="B407" s="396"/>
      <c r="C407" s="396"/>
      <c r="D407" s="310"/>
      <c r="E407" s="310"/>
      <c r="F407" s="310"/>
      <c r="G407" s="310"/>
      <c r="H407" s="310"/>
      <c r="I407" s="310"/>
      <c r="J407" s="225"/>
      <c r="K407" s="397"/>
      <c r="L407" s="397"/>
      <c r="M407" s="397"/>
      <c r="N407" s="225"/>
      <c r="O407" s="234"/>
      <c r="P407" s="234"/>
    </row>
    <row r="408" spans="1:16" x14ac:dyDescent="0.2">
      <c r="A408" s="225"/>
      <c r="B408" s="225"/>
      <c r="C408" s="225"/>
      <c r="D408" s="225"/>
      <c r="E408" s="225"/>
      <c r="F408" s="225"/>
      <c r="G408" s="225"/>
      <c r="H408" s="225"/>
      <c r="I408" s="225"/>
      <c r="J408" s="225"/>
      <c r="K408" s="397"/>
      <c r="L408" s="397"/>
      <c r="M408" s="397"/>
      <c r="N408" s="225"/>
      <c r="O408" s="234"/>
      <c r="P408" s="234"/>
    </row>
    <row r="409" spans="1:16" x14ac:dyDescent="0.2">
      <c r="A409" s="225"/>
      <c r="B409" s="225"/>
      <c r="C409" s="225"/>
      <c r="D409" s="225"/>
      <c r="E409" s="225"/>
      <c r="F409" s="225"/>
      <c r="G409" s="225"/>
      <c r="H409" s="225"/>
      <c r="I409" s="225"/>
      <c r="J409" s="225"/>
      <c r="K409" s="397"/>
      <c r="L409" s="397"/>
      <c r="M409" s="397"/>
      <c r="N409" s="225"/>
      <c r="O409" s="234"/>
      <c r="P409" s="234"/>
    </row>
    <row r="410" spans="1:16" x14ac:dyDescent="0.2">
      <c r="A410" s="225"/>
      <c r="B410" s="225"/>
      <c r="C410" s="225"/>
      <c r="D410" s="225"/>
      <c r="E410" s="225"/>
      <c r="F410" s="225"/>
      <c r="G410" s="225"/>
      <c r="H410" s="225"/>
      <c r="I410" s="225"/>
      <c r="J410" s="225"/>
      <c r="K410" s="399"/>
      <c r="L410" s="399"/>
      <c r="M410" s="397"/>
      <c r="N410" s="225"/>
      <c r="O410" s="234"/>
      <c r="P410" s="234"/>
    </row>
    <row r="411" spans="1:16" x14ac:dyDescent="0.2">
      <c r="A411" s="401"/>
      <c r="B411" s="401"/>
      <c r="C411" s="401"/>
      <c r="D411" s="225"/>
      <c r="E411" s="225"/>
      <c r="F411" s="225"/>
      <c r="G411" s="225"/>
      <c r="H411" s="225"/>
      <c r="I411" s="225"/>
      <c r="J411" s="401"/>
      <c r="K411" s="399"/>
      <c r="L411" s="399"/>
      <c r="M411" s="397"/>
      <c r="N411" s="225"/>
      <c r="O411" s="234"/>
      <c r="P411" s="234"/>
    </row>
    <row r="412" spans="1:16" x14ac:dyDescent="0.2">
      <c r="A412" s="401"/>
      <c r="B412" s="401"/>
      <c r="C412" s="401"/>
      <c r="D412" s="225"/>
      <c r="E412" s="225"/>
      <c r="F412" s="225"/>
      <c r="G412" s="225"/>
      <c r="H412" s="225"/>
      <c r="I412" s="225"/>
      <c r="J412" s="401"/>
      <c r="K412" s="397"/>
      <c r="L412" s="397"/>
      <c r="M412" s="397"/>
      <c r="N412" s="225"/>
      <c r="O412" s="234"/>
      <c r="P412" s="234"/>
    </row>
    <row r="413" spans="1:16" x14ac:dyDescent="0.2">
      <c r="A413" s="225"/>
      <c r="B413" s="225"/>
      <c r="C413" s="225"/>
      <c r="D413" s="225"/>
      <c r="E413" s="225"/>
      <c r="F413" s="225"/>
      <c r="G413" s="225"/>
      <c r="H413" s="225"/>
      <c r="I413" s="225"/>
      <c r="J413" s="225"/>
      <c r="K413" s="411"/>
      <c r="L413" s="411"/>
      <c r="M413" s="411"/>
      <c r="N413" s="225"/>
      <c r="O413" s="234"/>
      <c r="P413" s="234"/>
    </row>
    <row r="414" spans="1:16" x14ac:dyDescent="0.2">
      <c r="A414" s="406"/>
      <c r="B414" s="406"/>
      <c r="C414" s="406"/>
      <c r="D414" s="406"/>
      <c r="E414" s="406"/>
      <c r="F414" s="406"/>
      <c r="G414" s="406"/>
      <c r="H414" s="406"/>
      <c r="I414" s="406"/>
      <c r="J414" s="406"/>
      <c r="K414" s="411"/>
      <c r="L414" s="411"/>
      <c r="M414" s="411"/>
      <c r="N414" s="406"/>
      <c r="O414" s="234"/>
      <c r="P414" s="234"/>
    </row>
    <row r="415" spans="1:16" x14ac:dyDescent="0.2">
      <c r="A415" s="406"/>
      <c r="B415" s="406"/>
      <c r="C415" s="406"/>
      <c r="D415" s="406"/>
      <c r="E415" s="406"/>
      <c r="F415" s="406"/>
      <c r="G415" s="406"/>
      <c r="H415" s="406"/>
      <c r="I415" s="406"/>
      <c r="J415" s="406"/>
      <c r="K415" s="310"/>
      <c r="L415" s="310"/>
      <c r="M415" s="310"/>
      <c r="N415" s="406"/>
      <c r="O415" s="234"/>
      <c r="P415" s="234"/>
    </row>
    <row r="416" spans="1:16" x14ac:dyDescent="0.2">
      <c r="A416" s="396"/>
      <c r="B416" s="396"/>
      <c r="C416" s="396"/>
      <c r="D416" s="310"/>
      <c r="E416" s="310"/>
      <c r="F416" s="310"/>
      <c r="G416" s="310"/>
      <c r="H416" s="310"/>
      <c r="I416" s="310"/>
      <c r="J416" s="396"/>
      <c r="K416" s="310"/>
      <c r="L416" s="310"/>
      <c r="M416" s="310"/>
      <c r="N416" s="310"/>
      <c r="O416" s="234"/>
      <c r="P416" s="234"/>
    </row>
    <row r="417" spans="1:16" x14ac:dyDescent="0.2">
      <c r="A417" s="396"/>
      <c r="B417" s="396"/>
      <c r="C417" s="396"/>
      <c r="D417" s="310"/>
      <c r="E417" s="310"/>
      <c r="F417" s="310"/>
      <c r="G417" s="310"/>
      <c r="H417" s="310"/>
      <c r="I417" s="310"/>
      <c r="J417" s="396"/>
      <c r="K417" s="310"/>
      <c r="L417" s="310"/>
      <c r="M417" s="310"/>
      <c r="N417" s="310"/>
      <c r="O417" s="234"/>
      <c r="P417" s="234"/>
    </row>
    <row r="418" spans="1:16" x14ac:dyDescent="0.2">
      <c r="A418" s="396"/>
      <c r="B418" s="396"/>
      <c r="C418" s="396"/>
      <c r="D418" s="310"/>
      <c r="E418" s="310"/>
      <c r="F418" s="310"/>
      <c r="G418" s="310"/>
      <c r="H418" s="310"/>
      <c r="I418" s="310"/>
      <c r="J418" s="396"/>
      <c r="K418" s="310"/>
      <c r="L418" s="310"/>
      <c r="M418" s="310"/>
      <c r="N418" s="310"/>
      <c r="O418" s="234"/>
      <c r="P418" s="234"/>
    </row>
    <row r="419" spans="1:16" x14ac:dyDescent="0.2">
      <c r="A419" s="396"/>
      <c r="B419" s="396"/>
      <c r="C419" s="396"/>
      <c r="D419" s="310"/>
      <c r="E419" s="310"/>
      <c r="F419" s="310"/>
      <c r="G419" s="310"/>
      <c r="H419" s="310"/>
      <c r="I419" s="310"/>
      <c r="J419" s="396"/>
      <c r="K419" s="310"/>
      <c r="L419" s="310"/>
      <c r="M419" s="310"/>
      <c r="N419" s="310"/>
      <c r="O419" s="234"/>
      <c r="P419" s="234"/>
    </row>
    <row r="420" spans="1:16" x14ac:dyDescent="0.2">
      <c r="A420" s="396"/>
      <c r="B420" s="396"/>
      <c r="C420" s="396"/>
      <c r="D420" s="310"/>
      <c r="E420" s="310"/>
      <c r="F420" s="310"/>
      <c r="G420" s="310"/>
      <c r="H420" s="310"/>
      <c r="I420" s="310"/>
      <c r="J420" s="396"/>
      <c r="K420" s="310"/>
      <c r="L420" s="310"/>
      <c r="M420" s="310"/>
      <c r="N420" s="310"/>
      <c r="O420" s="234"/>
      <c r="P420" s="234"/>
    </row>
    <row r="421" spans="1:16" x14ac:dyDescent="0.2">
      <c r="A421" s="396"/>
      <c r="B421" s="396"/>
      <c r="C421" s="396"/>
      <c r="D421" s="310"/>
      <c r="E421" s="310"/>
      <c r="F421" s="310"/>
      <c r="G421" s="310"/>
      <c r="H421" s="310"/>
      <c r="I421" s="310"/>
      <c r="J421" s="396"/>
      <c r="K421" s="310"/>
      <c r="L421" s="310"/>
      <c r="M421" s="310"/>
      <c r="N421" s="310"/>
      <c r="O421" s="234"/>
      <c r="P421" s="234"/>
    </row>
    <row r="422" spans="1:16" x14ac:dyDescent="0.2">
      <c r="A422" s="396"/>
      <c r="B422" s="396"/>
      <c r="C422" s="396"/>
      <c r="D422" s="310"/>
      <c r="E422" s="310"/>
      <c r="F422" s="310"/>
      <c r="G422" s="310"/>
      <c r="H422" s="310"/>
      <c r="I422" s="310"/>
      <c r="J422" s="396"/>
      <c r="K422" s="310"/>
      <c r="L422" s="310"/>
      <c r="M422" s="310"/>
      <c r="N422" s="310"/>
      <c r="O422" s="234"/>
      <c r="P422" s="234"/>
    </row>
    <row r="423" spans="1:16" x14ac:dyDescent="0.2">
      <c r="A423" s="396"/>
      <c r="B423" s="396"/>
      <c r="C423" s="396"/>
      <c r="D423" s="310"/>
      <c r="E423" s="310"/>
      <c r="F423" s="310"/>
      <c r="G423" s="310"/>
      <c r="H423" s="310"/>
      <c r="I423" s="310"/>
      <c r="J423" s="396"/>
      <c r="K423" s="310"/>
      <c r="L423" s="310"/>
      <c r="M423" s="310"/>
      <c r="N423" s="310"/>
      <c r="O423" s="234"/>
      <c r="P423" s="234"/>
    </row>
    <row r="424" spans="1:16" x14ac:dyDescent="0.2">
      <c r="A424" s="396"/>
      <c r="B424" s="396"/>
      <c r="C424" s="396"/>
      <c r="D424" s="310"/>
      <c r="E424" s="310"/>
      <c r="F424" s="310"/>
      <c r="G424" s="310"/>
      <c r="H424" s="310"/>
      <c r="I424" s="310"/>
      <c r="J424" s="396"/>
      <c r="K424" s="310"/>
      <c r="L424" s="310"/>
      <c r="M424" s="310"/>
      <c r="N424" s="310"/>
      <c r="O424" s="234"/>
      <c r="P424" s="234"/>
    </row>
    <row r="425" spans="1:16" x14ac:dyDescent="0.2">
      <c r="A425" s="396"/>
      <c r="B425" s="396"/>
      <c r="C425" s="396"/>
      <c r="D425" s="310"/>
      <c r="E425" s="310"/>
      <c r="F425" s="310"/>
      <c r="G425" s="310"/>
      <c r="H425" s="310"/>
      <c r="I425" s="310"/>
      <c r="J425" s="396"/>
      <c r="K425" s="310"/>
      <c r="L425" s="310"/>
      <c r="M425" s="310"/>
      <c r="N425" s="310"/>
      <c r="O425" s="234"/>
      <c r="P425" s="234"/>
    </row>
    <row r="426" spans="1:16" x14ac:dyDescent="0.2">
      <c r="A426" s="396"/>
      <c r="B426" s="396"/>
      <c r="C426" s="396"/>
      <c r="D426" s="310"/>
      <c r="E426" s="310"/>
      <c r="F426" s="310"/>
      <c r="G426" s="310"/>
      <c r="H426" s="310"/>
      <c r="I426" s="310"/>
      <c r="J426" s="396"/>
      <c r="K426" s="310"/>
      <c r="L426" s="310"/>
      <c r="M426" s="310"/>
      <c r="N426" s="310"/>
      <c r="O426" s="234"/>
      <c r="P426" s="234"/>
    </row>
    <row r="427" spans="1:16" x14ac:dyDescent="0.2">
      <c r="A427" s="396"/>
      <c r="B427" s="396"/>
      <c r="C427" s="396"/>
      <c r="D427" s="310"/>
      <c r="E427" s="310"/>
      <c r="F427" s="310"/>
      <c r="G427" s="310"/>
      <c r="H427" s="310"/>
      <c r="I427" s="310"/>
      <c r="J427" s="396"/>
      <c r="K427" s="310"/>
      <c r="L427" s="310"/>
      <c r="M427" s="310"/>
      <c r="N427" s="310"/>
      <c r="O427" s="234"/>
      <c r="P427" s="234"/>
    </row>
    <row r="428" spans="1:16" x14ac:dyDescent="0.2">
      <c r="A428" s="396"/>
      <c r="B428" s="396"/>
      <c r="C428" s="396"/>
      <c r="D428" s="310"/>
      <c r="E428" s="310"/>
      <c r="F428" s="310"/>
      <c r="G428" s="310"/>
      <c r="H428" s="310"/>
      <c r="I428" s="310"/>
      <c r="J428" s="396"/>
      <c r="K428" s="310"/>
      <c r="L428" s="310"/>
      <c r="M428" s="310"/>
      <c r="N428" s="310"/>
      <c r="O428" s="234"/>
      <c r="P428" s="234"/>
    </row>
    <row r="429" spans="1:16" x14ac:dyDescent="0.2">
      <c r="A429" s="396"/>
      <c r="B429" s="396"/>
      <c r="C429" s="396"/>
      <c r="D429" s="310"/>
      <c r="E429" s="310"/>
      <c r="F429" s="310"/>
      <c r="G429" s="310"/>
      <c r="H429" s="310"/>
      <c r="I429" s="310"/>
      <c r="J429" s="396"/>
      <c r="K429" s="310"/>
      <c r="L429" s="310"/>
      <c r="M429" s="310"/>
      <c r="N429" s="310"/>
      <c r="O429" s="234"/>
      <c r="P429" s="234"/>
    </row>
    <row r="430" spans="1:16" x14ac:dyDescent="0.2">
      <c r="A430" s="396"/>
      <c r="B430" s="396"/>
      <c r="C430" s="396"/>
      <c r="D430" s="310"/>
      <c r="E430" s="310"/>
      <c r="F430" s="310"/>
      <c r="G430" s="310"/>
      <c r="H430" s="310"/>
      <c r="I430" s="310"/>
      <c r="J430" s="396"/>
      <c r="K430" s="310"/>
      <c r="L430" s="310"/>
      <c r="M430" s="310"/>
      <c r="N430" s="310"/>
      <c r="O430" s="234"/>
      <c r="P430" s="234"/>
    </row>
    <row r="431" spans="1:16" x14ac:dyDescent="0.2">
      <c r="A431" s="396"/>
      <c r="B431" s="396"/>
      <c r="C431" s="396"/>
      <c r="D431" s="310"/>
      <c r="E431" s="310"/>
      <c r="F431" s="310"/>
      <c r="G431" s="310"/>
      <c r="H431" s="310"/>
      <c r="I431" s="310"/>
      <c r="J431" s="396"/>
      <c r="K431" s="310"/>
      <c r="L431" s="310"/>
      <c r="M431" s="310"/>
      <c r="N431" s="310"/>
      <c r="O431" s="234"/>
      <c r="P431" s="234"/>
    </row>
    <row r="432" spans="1:16" x14ac:dyDescent="0.2">
      <c r="A432" s="396"/>
      <c r="B432" s="396"/>
      <c r="C432" s="396"/>
      <c r="D432" s="310"/>
      <c r="E432" s="310"/>
      <c r="F432" s="310"/>
      <c r="G432" s="310"/>
      <c r="H432" s="310"/>
      <c r="I432" s="310"/>
      <c r="J432" s="396"/>
      <c r="K432" s="310"/>
      <c r="L432" s="310"/>
      <c r="M432" s="310"/>
      <c r="N432" s="310"/>
      <c r="O432" s="234"/>
      <c r="P432" s="234"/>
    </row>
    <row r="433" spans="1:16" x14ac:dyDescent="0.2">
      <c r="A433" s="396"/>
      <c r="B433" s="396"/>
      <c r="C433" s="396"/>
      <c r="D433" s="310"/>
      <c r="E433" s="310"/>
      <c r="F433" s="310"/>
      <c r="G433" s="310"/>
      <c r="H433" s="310"/>
      <c r="I433" s="310"/>
      <c r="J433" s="396"/>
      <c r="K433" s="397"/>
      <c r="L433" s="397"/>
      <c r="M433" s="397"/>
      <c r="N433" s="310"/>
      <c r="O433" s="234"/>
      <c r="P433" s="234"/>
    </row>
    <row r="434" spans="1:16" x14ac:dyDescent="0.2">
      <c r="A434" s="396"/>
      <c r="B434" s="396"/>
      <c r="C434" s="396"/>
      <c r="D434" s="310"/>
      <c r="E434" s="310"/>
      <c r="F434" s="310"/>
      <c r="G434" s="310"/>
      <c r="H434" s="310"/>
      <c r="I434" s="310"/>
      <c r="J434" s="225"/>
      <c r="K434" s="397"/>
      <c r="L434" s="397"/>
      <c r="M434" s="397"/>
      <c r="N434" s="225"/>
      <c r="O434" s="234"/>
      <c r="P434" s="234"/>
    </row>
    <row r="435" spans="1:16" x14ac:dyDescent="0.2">
      <c r="A435" s="396"/>
      <c r="B435" s="396"/>
      <c r="C435" s="396"/>
      <c r="D435" s="310"/>
      <c r="E435" s="310"/>
      <c r="F435" s="310"/>
      <c r="G435" s="310"/>
      <c r="H435" s="310"/>
      <c r="I435" s="310"/>
      <c r="J435" s="225"/>
      <c r="K435" s="397"/>
      <c r="L435" s="397"/>
      <c r="M435" s="397"/>
      <c r="N435" s="225"/>
      <c r="O435" s="234"/>
      <c r="P435" s="234"/>
    </row>
    <row r="436" spans="1:16" x14ac:dyDescent="0.2">
      <c r="A436" s="396"/>
      <c r="B436" s="396"/>
      <c r="C436" s="396"/>
      <c r="D436" s="310"/>
      <c r="E436" s="310"/>
      <c r="F436" s="310"/>
      <c r="G436" s="310"/>
      <c r="H436" s="310"/>
      <c r="I436" s="310"/>
      <c r="J436" s="225"/>
      <c r="K436" s="397"/>
      <c r="L436" s="397"/>
      <c r="M436" s="397"/>
      <c r="N436" s="225"/>
      <c r="O436" s="234"/>
      <c r="P436" s="234"/>
    </row>
    <row r="437" spans="1:16" x14ac:dyDescent="0.2">
      <c r="A437" s="225"/>
      <c r="B437" s="225"/>
      <c r="C437" s="225"/>
      <c r="D437" s="225"/>
      <c r="E437" s="225"/>
      <c r="F437" s="225"/>
      <c r="G437" s="225"/>
      <c r="H437" s="225"/>
      <c r="I437" s="225"/>
      <c r="J437" s="225"/>
      <c r="K437" s="399"/>
      <c r="L437" s="399"/>
      <c r="M437" s="397"/>
      <c r="N437" s="225"/>
      <c r="O437" s="234"/>
      <c r="P437" s="234"/>
    </row>
    <row r="438" spans="1:16" x14ac:dyDescent="0.2">
      <c r="A438" s="401"/>
      <c r="B438" s="401"/>
      <c r="C438" s="401"/>
      <c r="D438" s="225"/>
      <c r="E438" s="225"/>
      <c r="F438" s="225"/>
      <c r="G438" s="225"/>
      <c r="H438" s="225"/>
      <c r="I438" s="225"/>
      <c r="J438" s="401"/>
      <c r="K438" s="399"/>
      <c r="L438" s="399"/>
      <c r="M438" s="397"/>
      <c r="N438" s="225"/>
      <c r="O438" s="234"/>
      <c r="P438" s="234"/>
    </row>
    <row r="439" spans="1:16" x14ac:dyDescent="0.2">
      <c r="A439" s="401"/>
      <c r="B439" s="401"/>
      <c r="C439" s="401"/>
      <c r="D439" s="225"/>
      <c r="E439" s="225"/>
      <c r="F439" s="225"/>
      <c r="G439" s="225"/>
      <c r="H439" s="225"/>
      <c r="I439" s="225"/>
      <c r="J439" s="401"/>
      <c r="K439" s="397"/>
      <c r="L439" s="397"/>
      <c r="M439" s="397"/>
      <c r="N439" s="225"/>
      <c r="O439" s="234"/>
      <c r="P439" s="234"/>
    </row>
    <row r="440" spans="1:16" x14ac:dyDescent="0.2">
      <c r="A440" s="225"/>
      <c r="B440" s="225"/>
      <c r="C440" s="225"/>
      <c r="D440" s="225"/>
      <c r="E440" s="225"/>
      <c r="F440" s="225"/>
      <c r="G440" s="225"/>
      <c r="H440" s="225"/>
      <c r="I440" s="225"/>
      <c r="J440" s="225"/>
      <c r="K440" s="411"/>
      <c r="L440" s="411"/>
      <c r="M440" s="411"/>
      <c r="N440" s="225"/>
      <c r="O440" s="234"/>
      <c r="P440" s="234"/>
    </row>
    <row r="441" spans="1:16" x14ac:dyDescent="0.2">
      <c r="A441" s="406"/>
      <c r="B441" s="406"/>
      <c r="C441" s="406"/>
      <c r="D441" s="406"/>
      <c r="E441" s="406"/>
      <c r="F441" s="406"/>
      <c r="G441" s="406"/>
      <c r="H441" s="406"/>
      <c r="I441" s="406"/>
      <c r="J441" s="406"/>
      <c r="K441" s="411"/>
      <c r="L441" s="411"/>
      <c r="M441" s="411"/>
      <c r="N441" s="406"/>
      <c r="O441" s="234"/>
      <c r="P441" s="234"/>
    </row>
    <row r="442" spans="1:16" x14ac:dyDescent="0.2">
      <c r="A442" s="406"/>
      <c r="B442" s="406"/>
      <c r="C442" s="406"/>
      <c r="D442" s="406"/>
      <c r="E442" s="406"/>
      <c r="F442" s="406"/>
      <c r="G442" s="406"/>
      <c r="H442" s="406"/>
      <c r="I442" s="406"/>
      <c r="J442" s="406"/>
      <c r="K442" s="310"/>
      <c r="L442" s="310"/>
      <c r="M442" s="310"/>
      <c r="N442" s="406"/>
      <c r="O442" s="234"/>
      <c r="P442" s="234"/>
    </row>
    <row r="443" spans="1:16" x14ac:dyDescent="0.2">
      <c r="A443" s="396"/>
      <c r="B443" s="396"/>
      <c r="C443" s="396"/>
      <c r="D443" s="310"/>
      <c r="E443" s="310"/>
      <c r="F443" s="310"/>
      <c r="G443" s="310"/>
      <c r="H443" s="310"/>
      <c r="I443" s="310"/>
      <c r="J443" s="396"/>
      <c r="K443" s="310"/>
      <c r="L443" s="310"/>
      <c r="M443" s="310"/>
      <c r="N443" s="310"/>
      <c r="O443" s="234"/>
      <c r="P443" s="234"/>
    </row>
    <row r="444" spans="1:16" x14ac:dyDescent="0.2">
      <c r="A444" s="396"/>
      <c r="B444" s="396"/>
      <c r="C444" s="396"/>
      <c r="D444" s="310"/>
      <c r="E444" s="310"/>
      <c r="F444" s="310"/>
      <c r="G444" s="310"/>
      <c r="H444" s="310"/>
      <c r="I444" s="310"/>
      <c r="J444" s="396"/>
      <c r="K444" s="310"/>
      <c r="L444" s="310"/>
      <c r="M444" s="310"/>
      <c r="N444" s="310"/>
      <c r="O444" s="234"/>
      <c r="P444" s="234"/>
    </row>
    <row r="445" spans="1:16" x14ac:dyDescent="0.2">
      <c r="A445" s="396"/>
      <c r="B445" s="396"/>
      <c r="C445" s="396"/>
      <c r="D445" s="310"/>
      <c r="E445" s="310"/>
      <c r="F445" s="310"/>
      <c r="G445" s="310"/>
      <c r="H445" s="310"/>
      <c r="I445" s="310"/>
      <c r="J445" s="396"/>
      <c r="K445" s="310"/>
      <c r="L445" s="310"/>
      <c r="M445" s="310"/>
      <c r="N445" s="310"/>
      <c r="O445" s="234"/>
      <c r="P445" s="234"/>
    </row>
    <row r="446" spans="1:16" x14ac:dyDescent="0.2">
      <c r="A446" s="396"/>
      <c r="B446" s="396"/>
      <c r="C446" s="396"/>
      <c r="D446" s="310"/>
      <c r="E446" s="310"/>
      <c r="F446" s="310"/>
      <c r="G446" s="310"/>
      <c r="H446" s="310"/>
      <c r="I446" s="310"/>
      <c r="J446" s="396"/>
      <c r="K446" s="310"/>
      <c r="L446" s="310"/>
      <c r="M446" s="310"/>
      <c r="N446" s="310"/>
      <c r="O446" s="234"/>
      <c r="P446" s="234"/>
    </row>
    <row r="447" spans="1:16" x14ac:dyDescent="0.2">
      <c r="A447" s="396"/>
      <c r="B447" s="396"/>
      <c r="C447" s="396"/>
      <c r="D447" s="310"/>
      <c r="E447" s="310"/>
      <c r="F447" s="310"/>
      <c r="G447" s="310"/>
      <c r="H447" s="310"/>
      <c r="I447" s="310"/>
      <c r="J447" s="396"/>
      <c r="K447" s="310"/>
      <c r="L447" s="310"/>
      <c r="M447" s="310"/>
      <c r="N447" s="310"/>
      <c r="O447" s="234"/>
      <c r="P447" s="234"/>
    </row>
    <row r="448" spans="1:16" x14ac:dyDescent="0.2">
      <c r="A448" s="396"/>
      <c r="B448" s="396"/>
      <c r="C448" s="396"/>
      <c r="D448" s="310"/>
      <c r="E448" s="310"/>
      <c r="F448" s="310"/>
      <c r="G448" s="310"/>
      <c r="H448" s="310"/>
      <c r="I448" s="310"/>
      <c r="J448" s="396"/>
      <c r="K448" s="310"/>
      <c r="L448" s="310"/>
      <c r="M448" s="310"/>
      <c r="N448" s="310"/>
      <c r="O448" s="234"/>
      <c r="P448" s="234"/>
    </row>
    <row r="449" spans="1:16" x14ac:dyDescent="0.2">
      <c r="A449" s="396"/>
      <c r="B449" s="396"/>
      <c r="C449" s="396"/>
      <c r="D449" s="310"/>
      <c r="E449" s="310"/>
      <c r="F449" s="310"/>
      <c r="G449" s="310"/>
      <c r="H449" s="310"/>
      <c r="I449" s="310"/>
      <c r="J449" s="396"/>
      <c r="K449" s="310"/>
      <c r="L449" s="310"/>
      <c r="M449" s="310"/>
      <c r="N449" s="310"/>
      <c r="O449" s="234"/>
      <c r="P449" s="234"/>
    </row>
    <row r="450" spans="1:16" x14ac:dyDescent="0.2">
      <c r="A450" s="396"/>
      <c r="B450" s="396"/>
      <c r="C450" s="396"/>
      <c r="D450" s="310"/>
      <c r="E450" s="310"/>
      <c r="F450" s="310"/>
      <c r="G450" s="310"/>
      <c r="H450" s="310"/>
      <c r="I450" s="310"/>
      <c r="J450" s="396"/>
      <c r="K450" s="310"/>
      <c r="L450" s="310"/>
      <c r="M450" s="310"/>
      <c r="N450" s="310"/>
      <c r="O450" s="234"/>
      <c r="P450" s="234"/>
    </row>
    <row r="451" spans="1:16" x14ac:dyDescent="0.2">
      <c r="A451" s="396"/>
      <c r="B451" s="396"/>
      <c r="C451" s="396"/>
      <c r="D451" s="310"/>
      <c r="E451" s="310"/>
      <c r="F451" s="310"/>
      <c r="G451" s="310"/>
      <c r="H451" s="310"/>
      <c r="I451" s="310"/>
      <c r="J451" s="396"/>
      <c r="K451" s="310"/>
      <c r="L451" s="310"/>
      <c r="M451" s="310"/>
      <c r="N451" s="310"/>
      <c r="O451" s="234"/>
      <c r="P451" s="234"/>
    </row>
    <row r="452" spans="1:16" x14ac:dyDescent="0.2">
      <c r="A452" s="396"/>
      <c r="B452" s="396"/>
      <c r="C452" s="396"/>
      <c r="D452" s="310"/>
      <c r="E452" s="310"/>
      <c r="F452" s="310"/>
      <c r="G452" s="310"/>
      <c r="H452" s="310"/>
      <c r="I452" s="310"/>
      <c r="J452" s="396"/>
      <c r="K452" s="310"/>
      <c r="L452" s="310"/>
      <c r="M452" s="310"/>
      <c r="N452" s="310"/>
      <c r="O452" s="234"/>
      <c r="P452" s="234"/>
    </row>
    <row r="453" spans="1:16" x14ac:dyDescent="0.2">
      <c r="A453" s="396"/>
      <c r="B453" s="396"/>
      <c r="C453" s="396"/>
      <c r="D453" s="310"/>
      <c r="E453" s="310"/>
      <c r="F453" s="310"/>
      <c r="G453" s="310"/>
      <c r="H453" s="310"/>
      <c r="I453" s="310"/>
      <c r="J453" s="396"/>
      <c r="K453" s="310"/>
      <c r="L453" s="310"/>
      <c r="M453" s="310"/>
      <c r="N453" s="310"/>
      <c r="O453" s="234"/>
      <c r="P453" s="234"/>
    </row>
    <row r="454" spans="1:16" x14ac:dyDescent="0.2">
      <c r="A454" s="396"/>
      <c r="B454" s="396"/>
      <c r="C454" s="396"/>
      <c r="D454" s="310"/>
      <c r="E454" s="310"/>
      <c r="F454" s="310"/>
      <c r="G454" s="310"/>
      <c r="H454" s="310"/>
      <c r="I454" s="310"/>
      <c r="J454" s="396"/>
      <c r="K454" s="310"/>
      <c r="L454" s="310"/>
      <c r="M454" s="310"/>
      <c r="N454" s="310"/>
      <c r="O454" s="234"/>
      <c r="P454" s="234"/>
    </row>
    <row r="455" spans="1:16" x14ac:dyDescent="0.2">
      <c r="A455" s="396"/>
      <c r="B455" s="396"/>
      <c r="C455" s="396"/>
      <c r="D455" s="310"/>
      <c r="E455" s="310"/>
      <c r="F455" s="310"/>
      <c r="G455" s="310"/>
      <c r="H455" s="310"/>
      <c r="I455" s="310"/>
      <c r="J455" s="396"/>
      <c r="K455" s="310"/>
      <c r="L455" s="310"/>
      <c r="M455" s="310"/>
      <c r="N455" s="310"/>
      <c r="O455" s="234"/>
      <c r="P455" s="234"/>
    </row>
    <row r="456" spans="1:16" x14ac:dyDescent="0.2">
      <c r="A456" s="396"/>
      <c r="B456" s="396"/>
      <c r="C456" s="396"/>
      <c r="D456" s="310"/>
      <c r="E456" s="310"/>
      <c r="F456" s="310"/>
      <c r="G456" s="310"/>
      <c r="H456" s="310"/>
      <c r="I456" s="310"/>
      <c r="J456" s="396"/>
      <c r="K456" s="310"/>
      <c r="L456" s="310"/>
      <c r="M456" s="310"/>
      <c r="N456" s="310"/>
      <c r="O456" s="234"/>
      <c r="P456" s="234"/>
    </row>
    <row r="457" spans="1:16" x14ac:dyDescent="0.2">
      <c r="A457" s="396"/>
      <c r="B457" s="396"/>
      <c r="C457" s="396"/>
      <c r="D457" s="310"/>
      <c r="E457" s="310"/>
      <c r="F457" s="310"/>
      <c r="G457" s="310"/>
      <c r="H457" s="310"/>
      <c r="I457" s="310"/>
      <c r="J457" s="396"/>
      <c r="K457" s="310"/>
      <c r="L457" s="310"/>
      <c r="M457" s="310"/>
      <c r="N457" s="310"/>
      <c r="O457" s="234"/>
      <c r="P457" s="234"/>
    </row>
    <row r="458" spans="1:16" x14ac:dyDescent="0.2">
      <c r="A458" s="396"/>
      <c r="B458" s="396"/>
      <c r="C458" s="396"/>
      <c r="D458" s="310"/>
      <c r="E458" s="310"/>
      <c r="F458" s="310"/>
      <c r="G458" s="310"/>
      <c r="H458" s="310"/>
      <c r="I458" s="310"/>
      <c r="J458" s="396"/>
      <c r="K458" s="310"/>
      <c r="L458" s="310"/>
      <c r="M458" s="310"/>
      <c r="N458" s="310"/>
      <c r="O458" s="234"/>
      <c r="P458" s="234"/>
    </row>
    <row r="459" spans="1:16" x14ac:dyDescent="0.2">
      <c r="A459" s="396"/>
      <c r="B459" s="396"/>
      <c r="C459" s="396"/>
      <c r="D459" s="310"/>
      <c r="E459" s="310"/>
      <c r="F459" s="310"/>
      <c r="G459" s="310"/>
      <c r="H459" s="310"/>
      <c r="I459" s="310"/>
      <c r="J459" s="396"/>
      <c r="K459" s="310"/>
      <c r="L459" s="310"/>
      <c r="M459" s="310"/>
      <c r="N459" s="310"/>
      <c r="O459" s="234"/>
      <c r="P459" s="234"/>
    </row>
    <row r="460" spans="1:16" x14ac:dyDescent="0.2">
      <c r="A460" s="396"/>
      <c r="B460" s="396"/>
      <c r="C460" s="396"/>
      <c r="D460" s="310"/>
      <c r="E460" s="310"/>
      <c r="F460" s="310"/>
      <c r="G460" s="310"/>
      <c r="H460" s="310"/>
      <c r="I460" s="310"/>
      <c r="J460" s="396"/>
      <c r="K460" s="397"/>
      <c r="L460" s="397"/>
      <c r="M460" s="397"/>
      <c r="N460" s="310"/>
      <c r="O460" s="234"/>
      <c r="P460" s="234"/>
    </row>
    <row r="461" spans="1:16" x14ac:dyDescent="0.2">
      <c r="A461" s="396"/>
      <c r="B461" s="396"/>
      <c r="C461" s="396"/>
      <c r="D461" s="310"/>
      <c r="E461" s="310"/>
      <c r="F461" s="310"/>
      <c r="G461" s="310"/>
      <c r="H461" s="310"/>
      <c r="I461" s="310"/>
      <c r="J461" s="225"/>
      <c r="K461" s="397"/>
      <c r="L461" s="397"/>
      <c r="M461" s="397"/>
      <c r="N461" s="225"/>
      <c r="O461" s="234"/>
      <c r="P461" s="234"/>
    </row>
    <row r="462" spans="1:16" x14ac:dyDescent="0.2">
      <c r="A462" s="396"/>
      <c r="B462" s="396"/>
      <c r="C462" s="396"/>
      <c r="D462" s="310"/>
      <c r="E462" s="310"/>
      <c r="F462" s="310"/>
      <c r="G462" s="310"/>
      <c r="H462" s="310"/>
      <c r="I462" s="310"/>
      <c r="J462" s="225"/>
      <c r="K462" s="397"/>
      <c r="L462" s="397"/>
      <c r="M462" s="397"/>
      <c r="N462" s="225"/>
      <c r="O462" s="234"/>
      <c r="P462" s="234"/>
    </row>
    <row r="463" spans="1:16" x14ac:dyDescent="0.2">
      <c r="A463" s="396"/>
      <c r="B463" s="396"/>
      <c r="C463" s="396"/>
      <c r="D463" s="310"/>
      <c r="E463" s="310"/>
      <c r="F463" s="310"/>
      <c r="G463" s="310"/>
      <c r="H463" s="310"/>
      <c r="I463" s="310"/>
      <c r="J463" s="225"/>
      <c r="K463" s="397"/>
      <c r="L463" s="397"/>
      <c r="M463" s="397"/>
      <c r="N463" s="225"/>
      <c r="O463" s="234"/>
      <c r="P463" s="234"/>
    </row>
    <row r="464" spans="1:16" x14ac:dyDescent="0.2">
      <c r="A464" s="225"/>
      <c r="B464" s="225"/>
      <c r="C464" s="225"/>
      <c r="D464" s="225"/>
      <c r="E464" s="225"/>
      <c r="F464" s="225"/>
      <c r="G464" s="225"/>
      <c r="H464" s="225"/>
      <c r="I464" s="225"/>
      <c r="J464" s="225"/>
      <c r="K464" s="397"/>
      <c r="L464" s="397"/>
      <c r="M464" s="397"/>
      <c r="N464" s="225"/>
      <c r="O464" s="234"/>
      <c r="P464" s="234"/>
    </row>
    <row r="465" spans="1:16" x14ac:dyDescent="0.2">
      <c r="A465" s="225"/>
      <c r="B465" s="225"/>
      <c r="C465" s="225"/>
      <c r="D465" s="225"/>
      <c r="E465" s="225"/>
      <c r="F465" s="225"/>
      <c r="G465" s="225"/>
      <c r="H465" s="225"/>
      <c r="I465" s="225"/>
      <c r="J465" s="225"/>
      <c r="K465" s="397"/>
      <c r="L465" s="397"/>
      <c r="M465" s="397"/>
      <c r="N465" s="225"/>
      <c r="O465" s="234"/>
      <c r="P465" s="234"/>
    </row>
    <row r="466" spans="1:16" x14ac:dyDescent="0.2">
      <c r="A466" s="225"/>
      <c r="B466" s="225"/>
      <c r="C466" s="225"/>
      <c r="D466" s="225"/>
      <c r="E466" s="225"/>
      <c r="F466" s="225"/>
      <c r="G466" s="225"/>
      <c r="H466" s="225"/>
      <c r="I466" s="225"/>
      <c r="J466" s="225"/>
      <c r="K466" s="397"/>
      <c r="L466" s="397"/>
      <c r="M466" s="397"/>
      <c r="N466" s="225"/>
      <c r="O466" s="234"/>
      <c r="P466" s="234"/>
    </row>
    <row r="467" spans="1:16" x14ac:dyDescent="0.2">
      <c r="A467" s="225"/>
      <c r="B467" s="225"/>
      <c r="C467" s="225"/>
      <c r="D467" s="225"/>
      <c r="E467" s="225"/>
      <c r="F467" s="225"/>
      <c r="G467" s="225"/>
      <c r="H467" s="225"/>
      <c r="I467" s="225"/>
      <c r="J467" s="225"/>
      <c r="K467" s="397"/>
      <c r="L467" s="397"/>
      <c r="M467" s="397"/>
      <c r="N467" s="225"/>
      <c r="O467" s="234"/>
      <c r="P467" s="234"/>
    </row>
    <row r="468" spans="1:16" x14ac:dyDescent="0.2">
      <c r="A468" s="225"/>
      <c r="B468" s="225"/>
      <c r="C468" s="225"/>
      <c r="D468" s="225"/>
      <c r="E468" s="225"/>
      <c r="F468" s="225"/>
      <c r="G468" s="225"/>
      <c r="H468" s="225"/>
      <c r="I468" s="225"/>
      <c r="J468" s="225"/>
      <c r="K468" s="397"/>
      <c r="L468" s="397"/>
      <c r="M468" s="397"/>
      <c r="N468" s="225"/>
      <c r="O468" s="234"/>
      <c r="P468" s="234"/>
    </row>
    <row r="469" spans="1:16" x14ac:dyDescent="0.2">
      <c r="A469" s="225"/>
      <c r="B469" s="225"/>
      <c r="C469" s="225"/>
      <c r="D469" s="225"/>
      <c r="E469" s="225"/>
      <c r="F469" s="225"/>
      <c r="G469" s="225"/>
      <c r="H469" s="225"/>
      <c r="I469" s="225"/>
      <c r="J469" s="225"/>
      <c r="K469" s="397"/>
      <c r="L469" s="397"/>
      <c r="M469" s="397"/>
      <c r="N469" s="225"/>
      <c r="O469" s="234"/>
      <c r="P469" s="234"/>
    </row>
    <row r="470" spans="1:16" x14ac:dyDescent="0.2">
      <c r="A470" s="225"/>
      <c r="B470" s="225"/>
      <c r="C470" s="225"/>
      <c r="D470" s="225"/>
      <c r="E470" s="225"/>
      <c r="F470" s="225"/>
      <c r="G470" s="225"/>
      <c r="H470" s="225"/>
      <c r="I470" s="225"/>
      <c r="J470" s="225"/>
      <c r="K470" s="397"/>
      <c r="L470" s="397"/>
      <c r="M470" s="397"/>
      <c r="N470" s="225"/>
      <c r="O470" s="234"/>
      <c r="P470" s="234"/>
    </row>
    <row r="471" spans="1:16" x14ac:dyDescent="0.2">
      <c r="A471" s="225"/>
      <c r="B471" s="225"/>
      <c r="C471" s="225"/>
      <c r="D471" s="225"/>
      <c r="E471" s="225"/>
      <c r="F471" s="225"/>
      <c r="G471" s="225"/>
      <c r="H471" s="225"/>
      <c r="I471" s="225"/>
      <c r="J471" s="225"/>
      <c r="K471" s="397"/>
      <c r="L471" s="397"/>
      <c r="M471" s="397"/>
      <c r="N471" s="225"/>
      <c r="O471" s="234"/>
      <c r="P471" s="234"/>
    </row>
    <row r="472" spans="1:16" x14ac:dyDescent="0.2">
      <c r="A472" s="225"/>
      <c r="B472" s="225"/>
      <c r="C472" s="225"/>
      <c r="D472" s="225"/>
      <c r="E472" s="225"/>
      <c r="F472" s="225"/>
      <c r="G472" s="225"/>
      <c r="H472" s="225"/>
      <c r="I472" s="225"/>
      <c r="J472" s="225"/>
      <c r="K472" s="397"/>
      <c r="L472" s="397"/>
      <c r="M472" s="397"/>
      <c r="N472" s="225"/>
      <c r="O472" s="234"/>
      <c r="P472" s="234"/>
    </row>
    <row r="473" spans="1:16" x14ac:dyDescent="0.2">
      <c r="A473" s="225"/>
      <c r="B473" s="225"/>
      <c r="C473" s="225"/>
      <c r="D473" s="225"/>
      <c r="E473" s="225"/>
      <c r="F473" s="225"/>
      <c r="G473" s="225"/>
      <c r="H473" s="225"/>
      <c r="I473" s="225"/>
      <c r="J473" s="225"/>
      <c r="K473" s="397"/>
      <c r="L473" s="397"/>
      <c r="M473" s="397"/>
      <c r="N473" s="225"/>
      <c r="O473" s="234"/>
      <c r="P473" s="234"/>
    </row>
    <row r="474" spans="1:16" x14ac:dyDescent="0.2">
      <c r="A474" s="225"/>
      <c r="B474" s="225"/>
      <c r="C474" s="225"/>
      <c r="D474" s="225"/>
      <c r="E474" s="225"/>
      <c r="F474" s="225"/>
      <c r="G474" s="225"/>
      <c r="H474" s="225"/>
      <c r="I474" s="225"/>
      <c r="J474" s="225"/>
      <c r="K474" s="397"/>
      <c r="L474" s="397"/>
      <c r="M474" s="397"/>
      <c r="N474" s="225"/>
      <c r="O474" s="234"/>
      <c r="P474" s="234"/>
    </row>
    <row r="475" spans="1:16" x14ac:dyDescent="0.2">
      <c r="A475" s="225"/>
      <c r="B475" s="225"/>
      <c r="C475" s="225"/>
      <c r="D475" s="225"/>
      <c r="E475" s="225"/>
      <c r="F475" s="225"/>
      <c r="G475" s="225"/>
      <c r="H475" s="225"/>
      <c r="I475" s="225"/>
      <c r="J475" s="225"/>
      <c r="K475" s="397"/>
      <c r="L475" s="397"/>
      <c r="M475" s="397"/>
      <c r="N475" s="225"/>
      <c r="O475" s="234"/>
      <c r="P475" s="234"/>
    </row>
    <row r="476" spans="1:16" x14ac:dyDescent="0.2">
      <c r="A476" s="225"/>
      <c r="B476" s="225"/>
      <c r="C476" s="225"/>
      <c r="D476" s="225"/>
      <c r="E476" s="225"/>
      <c r="F476" s="225"/>
      <c r="G476" s="225"/>
      <c r="H476" s="225"/>
      <c r="I476" s="225"/>
      <c r="J476" s="225"/>
      <c r="K476" s="397"/>
      <c r="L476" s="397"/>
      <c r="M476" s="397"/>
      <c r="N476" s="225"/>
      <c r="O476" s="234"/>
      <c r="P476" s="234"/>
    </row>
    <row r="477" spans="1:16" x14ac:dyDescent="0.2">
      <c r="A477" s="225"/>
      <c r="B477" s="225"/>
      <c r="C477" s="225"/>
      <c r="D477" s="225"/>
      <c r="E477" s="225"/>
      <c r="F477" s="225"/>
      <c r="G477" s="225"/>
      <c r="H477" s="225"/>
      <c r="I477" s="225"/>
      <c r="J477" s="225"/>
      <c r="K477" s="397"/>
      <c r="L477" s="397"/>
      <c r="M477" s="397"/>
      <c r="N477" s="225"/>
      <c r="O477" s="234"/>
      <c r="P477" s="234"/>
    </row>
    <row r="478" spans="1:16" x14ac:dyDescent="0.2">
      <c r="A478" s="225"/>
      <c r="B478" s="225"/>
      <c r="C478" s="225"/>
      <c r="D478" s="225"/>
      <c r="E478" s="225"/>
      <c r="F478" s="225"/>
      <c r="G478" s="225"/>
      <c r="H478" s="225"/>
      <c r="I478" s="225"/>
      <c r="J478" s="225"/>
      <c r="K478" s="397"/>
      <c r="L478" s="397"/>
      <c r="M478" s="397"/>
      <c r="N478" s="225"/>
      <c r="O478" s="234"/>
      <c r="P478" s="234"/>
    </row>
    <row r="479" spans="1:16" x14ac:dyDescent="0.2">
      <c r="A479" s="225"/>
      <c r="B479" s="225"/>
      <c r="C479" s="225"/>
      <c r="D479" s="225"/>
      <c r="E479" s="225"/>
      <c r="F479" s="225"/>
      <c r="G479" s="225"/>
      <c r="H479" s="225"/>
      <c r="I479" s="225"/>
      <c r="J479" s="225"/>
      <c r="K479" s="397"/>
      <c r="L479" s="397"/>
      <c r="M479" s="397"/>
      <c r="N479" s="225"/>
      <c r="O479" s="234"/>
      <c r="P479" s="234"/>
    </row>
    <row r="480" spans="1:16" x14ac:dyDescent="0.2">
      <c r="A480" s="225"/>
      <c r="B480" s="225"/>
      <c r="C480" s="225"/>
      <c r="D480" s="225"/>
      <c r="E480" s="225"/>
      <c r="F480" s="225"/>
      <c r="G480" s="225"/>
      <c r="H480" s="225"/>
      <c r="I480" s="225"/>
      <c r="J480" s="225"/>
      <c r="K480" s="397"/>
      <c r="L480" s="397"/>
      <c r="M480" s="397"/>
      <c r="N480" s="225"/>
      <c r="O480" s="234"/>
      <c r="P480" s="234"/>
    </row>
    <row r="481" spans="1:16" x14ac:dyDescent="0.2">
      <c r="A481" s="225"/>
      <c r="B481" s="225"/>
      <c r="C481" s="225"/>
      <c r="D481" s="225"/>
      <c r="E481" s="225"/>
      <c r="F481" s="225"/>
      <c r="G481" s="225"/>
      <c r="H481" s="225"/>
      <c r="I481" s="225"/>
      <c r="J481" s="225"/>
      <c r="K481" s="397"/>
      <c r="L481" s="397"/>
      <c r="M481" s="397"/>
      <c r="N481" s="225"/>
      <c r="O481" s="234"/>
      <c r="P481" s="234"/>
    </row>
    <row r="482" spans="1:16" x14ac:dyDescent="0.2">
      <c r="A482" s="225"/>
      <c r="B482" s="225"/>
      <c r="C482" s="225"/>
      <c r="D482" s="225"/>
      <c r="E482" s="225"/>
      <c r="F482" s="225"/>
      <c r="G482" s="225"/>
      <c r="H482" s="225"/>
      <c r="I482" s="225"/>
      <c r="J482" s="225"/>
      <c r="K482" s="397"/>
      <c r="L482" s="397"/>
      <c r="M482" s="397"/>
      <c r="N482" s="225"/>
      <c r="O482" s="234"/>
      <c r="P482" s="234"/>
    </row>
    <row r="483" spans="1:16" x14ac:dyDescent="0.2">
      <c r="A483" s="225"/>
      <c r="B483" s="225"/>
      <c r="C483" s="225"/>
      <c r="D483" s="225"/>
      <c r="E483" s="225"/>
      <c r="F483" s="225"/>
      <c r="G483" s="225"/>
      <c r="H483" s="225"/>
      <c r="I483" s="225"/>
      <c r="J483" s="225"/>
      <c r="K483" s="397"/>
      <c r="L483" s="397"/>
      <c r="M483" s="397"/>
      <c r="N483" s="225"/>
      <c r="O483" s="234"/>
      <c r="P483" s="234"/>
    </row>
    <row r="484" spans="1:16" x14ac:dyDescent="0.2">
      <c r="A484" s="225"/>
      <c r="B484" s="225"/>
      <c r="C484" s="225"/>
      <c r="D484" s="225"/>
      <c r="E484" s="225"/>
      <c r="F484" s="225"/>
      <c r="G484" s="225"/>
      <c r="H484" s="225"/>
      <c r="I484" s="225"/>
      <c r="J484" s="225"/>
      <c r="K484" s="397"/>
      <c r="L484" s="397"/>
      <c r="M484" s="397"/>
      <c r="N484" s="225"/>
      <c r="O484" s="234"/>
      <c r="P484" s="234"/>
    </row>
    <row r="485" spans="1:16" x14ac:dyDescent="0.2">
      <c r="A485" s="225"/>
      <c r="B485" s="225"/>
      <c r="C485" s="225"/>
      <c r="D485" s="225"/>
      <c r="E485" s="225"/>
      <c r="F485" s="225"/>
      <c r="G485" s="225"/>
      <c r="H485" s="225"/>
      <c r="I485" s="225"/>
      <c r="J485" s="225"/>
      <c r="K485" s="397"/>
      <c r="L485" s="397"/>
      <c r="M485" s="397"/>
      <c r="N485" s="225"/>
      <c r="O485" s="234"/>
      <c r="P485" s="234"/>
    </row>
    <row r="486" spans="1:16" x14ac:dyDescent="0.2">
      <c r="A486" s="225"/>
      <c r="B486" s="225"/>
      <c r="C486" s="225"/>
      <c r="D486" s="225"/>
      <c r="E486" s="225"/>
      <c r="F486" s="225"/>
      <c r="G486" s="225"/>
      <c r="H486" s="225"/>
      <c r="I486" s="225"/>
      <c r="J486" s="225"/>
      <c r="K486" s="397"/>
      <c r="L486" s="397"/>
      <c r="M486" s="397"/>
      <c r="N486" s="225"/>
      <c r="O486" s="234"/>
      <c r="P486" s="234"/>
    </row>
    <row r="487" spans="1:16" x14ac:dyDescent="0.2">
      <c r="A487" s="225"/>
      <c r="B487" s="225"/>
      <c r="C487" s="225"/>
      <c r="D487" s="225"/>
      <c r="E487" s="225"/>
      <c r="F487" s="225"/>
      <c r="G487" s="225"/>
      <c r="H487" s="225"/>
      <c r="I487" s="225"/>
      <c r="J487" s="225"/>
      <c r="K487" s="397"/>
      <c r="L487" s="397"/>
      <c r="M487" s="397"/>
      <c r="N487" s="225"/>
      <c r="O487" s="234"/>
      <c r="P487" s="234"/>
    </row>
    <row r="488" spans="1:16" x14ac:dyDescent="0.2">
      <c r="A488" s="225"/>
      <c r="B488" s="225"/>
      <c r="C488" s="225"/>
      <c r="D488" s="225"/>
      <c r="E488" s="225"/>
      <c r="F488" s="225"/>
      <c r="G488" s="225"/>
      <c r="H488" s="225"/>
      <c r="I488" s="225"/>
      <c r="J488" s="225"/>
      <c r="K488" s="397"/>
      <c r="L488" s="397"/>
      <c r="M488" s="397"/>
      <c r="N488" s="225"/>
      <c r="O488" s="234"/>
      <c r="P488" s="234"/>
    </row>
    <row r="489" spans="1:16" x14ac:dyDescent="0.2">
      <c r="A489" s="225"/>
      <c r="B489" s="225"/>
      <c r="C489" s="225"/>
      <c r="D489" s="225"/>
      <c r="E489" s="225"/>
      <c r="F489" s="225"/>
      <c r="G489" s="225"/>
      <c r="H489" s="225"/>
      <c r="I489" s="225"/>
      <c r="J489" s="225"/>
      <c r="K489" s="397"/>
      <c r="L489" s="397"/>
      <c r="M489" s="397"/>
      <c r="N489" s="225"/>
      <c r="O489" s="234"/>
      <c r="P489" s="234"/>
    </row>
    <row r="490" spans="1:16" x14ac:dyDescent="0.2">
      <c r="A490" s="225"/>
      <c r="B490" s="225"/>
      <c r="C490" s="225"/>
      <c r="D490" s="225"/>
      <c r="E490" s="225"/>
      <c r="F490" s="225"/>
      <c r="G490" s="225"/>
      <c r="H490" s="225"/>
      <c r="I490" s="225"/>
      <c r="J490" s="225"/>
      <c r="K490" s="397"/>
      <c r="L490" s="397"/>
      <c r="M490" s="397"/>
      <c r="N490" s="225"/>
      <c r="O490" s="234"/>
      <c r="P490" s="234"/>
    </row>
    <row r="491" spans="1:16" x14ac:dyDescent="0.2">
      <c r="A491" s="225"/>
      <c r="B491" s="225"/>
      <c r="C491" s="225"/>
      <c r="D491" s="225"/>
      <c r="E491" s="225"/>
      <c r="F491" s="225"/>
      <c r="G491" s="225"/>
      <c r="H491" s="225"/>
      <c r="I491" s="225"/>
      <c r="J491" s="225"/>
      <c r="K491" s="397"/>
      <c r="L491" s="397"/>
      <c r="M491" s="397"/>
      <c r="N491" s="225"/>
      <c r="O491" s="234"/>
      <c r="P491" s="234"/>
    </row>
    <row r="492" spans="1:16" x14ac:dyDescent="0.2">
      <c r="A492" s="225"/>
      <c r="B492" s="225"/>
      <c r="C492" s="225"/>
      <c r="D492" s="225"/>
      <c r="E492" s="225"/>
      <c r="F492" s="225"/>
      <c r="G492" s="225"/>
      <c r="H492" s="225"/>
      <c r="I492" s="225"/>
      <c r="J492" s="225"/>
      <c r="K492" s="397"/>
      <c r="L492" s="397"/>
      <c r="M492" s="397"/>
      <c r="N492" s="225"/>
      <c r="O492" s="234"/>
      <c r="P492" s="234"/>
    </row>
    <row r="493" spans="1:16" x14ac:dyDescent="0.2">
      <c r="A493" s="225"/>
      <c r="B493" s="225"/>
      <c r="C493" s="225"/>
      <c r="D493" s="225"/>
      <c r="E493" s="225"/>
      <c r="F493" s="225"/>
      <c r="G493" s="225"/>
      <c r="H493" s="225"/>
      <c r="I493" s="225"/>
      <c r="J493" s="225"/>
      <c r="K493" s="397"/>
      <c r="L493" s="397"/>
      <c r="M493" s="397"/>
      <c r="N493" s="225"/>
      <c r="O493" s="234"/>
      <c r="P493" s="234"/>
    </row>
    <row r="494" spans="1:16" x14ac:dyDescent="0.2">
      <c r="A494" s="225"/>
      <c r="B494" s="225"/>
      <c r="C494" s="225"/>
      <c r="D494" s="225"/>
      <c r="E494" s="225"/>
      <c r="F494" s="225"/>
      <c r="G494" s="225"/>
      <c r="H494" s="225"/>
      <c r="I494" s="225"/>
      <c r="J494" s="225"/>
      <c r="K494" s="397"/>
      <c r="L494" s="397"/>
      <c r="M494" s="397"/>
      <c r="N494" s="225"/>
      <c r="O494" s="234"/>
      <c r="P494" s="234"/>
    </row>
    <row r="495" spans="1:16" x14ac:dyDescent="0.2">
      <c r="A495" s="225"/>
      <c r="B495" s="225"/>
      <c r="C495" s="225"/>
      <c r="D495" s="225"/>
      <c r="E495" s="225"/>
      <c r="F495" s="225"/>
      <c r="G495" s="225"/>
      <c r="H495" s="225"/>
      <c r="I495" s="225"/>
      <c r="J495" s="225"/>
      <c r="K495" s="397"/>
      <c r="L495" s="397"/>
      <c r="M495" s="397"/>
      <c r="N495" s="225"/>
      <c r="O495" s="234"/>
      <c r="P495" s="234"/>
    </row>
    <row r="496" spans="1:16" x14ac:dyDescent="0.2">
      <c r="A496" s="225"/>
      <c r="B496" s="225"/>
      <c r="C496" s="225"/>
      <c r="D496" s="225"/>
      <c r="E496" s="225"/>
      <c r="F496" s="225"/>
      <c r="G496" s="225"/>
      <c r="H496" s="225"/>
      <c r="I496" s="225"/>
      <c r="J496" s="225"/>
      <c r="K496" s="397"/>
      <c r="L496" s="397"/>
      <c r="M496" s="397"/>
      <c r="N496" s="225"/>
      <c r="O496" s="234"/>
      <c r="P496" s="234"/>
    </row>
    <row r="497" spans="1:16" x14ac:dyDescent="0.2">
      <c r="A497" s="225"/>
      <c r="B497" s="225"/>
      <c r="C497" s="225"/>
      <c r="D497" s="225"/>
      <c r="E497" s="225"/>
      <c r="F497" s="225"/>
      <c r="G497" s="225"/>
      <c r="H497" s="225"/>
      <c r="I497" s="225"/>
      <c r="J497" s="225"/>
      <c r="K497" s="397"/>
      <c r="L497" s="397"/>
      <c r="M497" s="397"/>
      <c r="N497" s="225"/>
      <c r="O497" s="234"/>
      <c r="P497" s="234"/>
    </row>
    <row r="498" spans="1:16" x14ac:dyDescent="0.2">
      <c r="A498" s="225"/>
      <c r="B498" s="225"/>
      <c r="C498" s="225"/>
      <c r="D498" s="225"/>
      <c r="E498" s="225"/>
      <c r="F498" s="225"/>
      <c r="G498" s="225"/>
      <c r="H498" s="225"/>
      <c r="I498" s="225"/>
      <c r="J498" s="225"/>
      <c r="K498" s="397"/>
      <c r="L498" s="397"/>
      <c r="M498" s="397"/>
      <c r="N498" s="225"/>
      <c r="O498" s="234"/>
      <c r="P498" s="234"/>
    </row>
    <row r="499" spans="1:16" x14ac:dyDescent="0.2">
      <c r="A499" s="225"/>
      <c r="B499" s="225"/>
      <c r="C499" s="225"/>
      <c r="D499" s="225"/>
      <c r="E499" s="225"/>
      <c r="F499" s="225"/>
      <c r="G499" s="225"/>
      <c r="H499" s="225"/>
      <c r="I499" s="225"/>
      <c r="J499" s="225"/>
      <c r="K499" s="397"/>
      <c r="L499" s="397"/>
      <c r="M499" s="397"/>
      <c r="N499" s="225"/>
      <c r="O499" s="234"/>
      <c r="P499" s="234"/>
    </row>
    <row r="500" spans="1:16" x14ac:dyDescent="0.2">
      <c r="A500" s="225"/>
      <c r="B500" s="225"/>
      <c r="C500" s="225"/>
      <c r="D500" s="225"/>
      <c r="E500" s="225"/>
      <c r="F500" s="225"/>
      <c r="G500" s="225"/>
      <c r="H500" s="225"/>
      <c r="I500" s="225"/>
      <c r="J500" s="225"/>
      <c r="K500" s="397"/>
      <c r="L500" s="397"/>
      <c r="M500" s="397"/>
      <c r="N500" s="225"/>
      <c r="O500" s="234"/>
      <c r="P500" s="234"/>
    </row>
    <row r="501" spans="1:16" x14ac:dyDescent="0.2">
      <c r="A501" s="225"/>
      <c r="B501" s="225"/>
      <c r="C501" s="225"/>
      <c r="D501" s="225"/>
      <c r="E501" s="225"/>
      <c r="F501" s="225"/>
      <c r="G501" s="225"/>
      <c r="H501" s="225"/>
      <c r="I501" s="225"/>
      <c r="J501" s="225"/>
      <c r="K501" s="397"/>
      <c r="L501" s="397"/>
      <c r="M501" s="397"/>
      <c r="N501" s="225"/>
      <c r="O501" s="234"/>
      <c r="P501" s="234"/>
    </row>
    <row r="502" spans="1:16" x14ac:dyDescent="0.2">
      <c r="A502" s="225"/>
      <c r="B502" s="225"/>
      <c r="C502" s="225"/>
      <c r="D502" s="225"/>
      <c r="E502" s="225"/>
      <c r="F502" s="225"/>
      <c r="G502" s="225"/>
      <c r="H502" s="225"/>
      <c r="I502" s="225"/>
      <c r="J502" s="225"/>
      <c r="K502" s="397"/>
      <c r="L502" s="397"/>
      <c r="M502" s="397"/>
      <c r="N502" s="225"/>
      <c r="O502" s="234"/>
      <c r="P502" s="234"/>
    </row>
    <row r="503" spans="1:16" x14ac:dyDescent="0.2">
      <c r="A503" s="225"/>
      <c r="B503" s="225"/>
      <c r="C503" s="225"/>
      <c r="D503" s="225"/>
      <c r="E503" s="225"/>
      <c r="F503" s="225"/>
      <c r="G503" s="225"/>
      <c r="H503" s="225"/>
      <c r="I503" s="225"/>
      <c r="J503" s="225"/>
      <c r="K503" s="397"/>
      <c r="L503" s="397"/>
      <c r="M503" s="397"/>
      <c r="N503" s="225"/>
      <c r="O503" s="234"/>
      <c r="P503" s="234"/>
    </row>
    <row r="504" spans="1:16" x14ac:dyDescent="0.2">
      <c r="A504" s="225"/>
      <c r="B504" s="225"/>
      <c r="C504" s="225"/>
      <c r="D504" s="225"/>
      <c r="E504" s="225"/>
      <c r="F504" s="225"/>
      <c r="G504" s="225"/>
      <c r="H504" s="225"/>
      <c r="I504" s="225"/>
      <c r="J504" s="225"/>
      <c r="N504" s="225"/>
      <c r="O504" s="234"/>
      <c r="P504" s="234"/>
    </row>
  </sheetData>
  <mergeCells count="398">
    <mergeCell ref="HF259:HF261"/>
    <mergeCell ref="GU259:GU261"/>
    <mergeCell ref="GW259:GW261"/>
    <mergeCell ref="GX259:GX261"/>
    <mergeCell ref="HA259:HA261"/>
    <mergeCell ref="HC259:HC261"/>
    <mergeCell ref="HE259:HE261"/>
    <mergeCell ref="GX256:GX258"/>
    <mergeCell ref="HA256:HA258"/>
    <mergeCell ref="HC256:HC258"/>
    <mergeCell ref="HE256:HE258"/>
    <mergeCell ref="HF256:HF258"/>
    <mergeCell ref="EO258:EO260"/>
    <mergeCell ref="EQ258:EQ260"/>
    <mergeCell ref="ES258:ES260"/>
    <mergeCell ref="ET258:ET260"/>
    <mergeCell ref="EW258:EW260"/>
    <mergeCell ref="HC253:HC255"/>
    <mergeCell ref="HE253:HE255"/>
    <mergeCell ref="HF253:HF255"/>
    <mergeCell ref="EO255:EO257"/>
    <mergeCell ref="EQ255:EQ257"/>
    <mergeCell ref="ES255:ES257"/>
    <mergeCell ref="ET255:ET257"/>
    <mergeCell ref="EW255:EW257"/>
    <mergeCell ref="GU256:GU258"/>
    <mergeCell ref="GW256:GW258"/>
    <mergeCell ref="HF250:HF252"/>
    <mergeCell ref="EO252:EO254"/>
    <mergeCell ref="EQ252:EQ254"/>
    <mergeCell ref="ES252:ES254"/>
    <mergeCell ref="ET252:ET254"/>
    <mergeCell ref="EW252:EW254"/>
    <mergeCell ref="GU253:GU255"/>
    <mergeCell ref="GW253:GW255"/>
    <mergeCell ref="GX253:GX255"/>
    <mergeCell ref="HA253:HA255"/>
    <mergeCell ref="GU250:GU252"/>
    <mergeCell ref="GW250:GW252"/>
    <mergeCell ref="GX250:GX252"/>
    <mergeCell ref="HA250:HA252"/>
    <mergeCell ref="HC250:HC252"/>
    <mergeCell ref="HE250:HE252"/>
    <mergeCell ref="GX247:GX249"/>
    <mergeCell ref="HA247:HA249"/>
    <mergeCell ref="HC247:HC249"/>
    <mergeCell ref="HE247:HE249"/>
    <mergeCell ref="HF247:HF249"/>
    <mergeCell ref="EO249:EO251"/>
    <mergeCell ref="EQ249:EQ251"/>
    <mergeCell ref="ES249:ES251"/>
    <mergeCell ref="ET249:ET251"/>
    <mergeCell ref="EW249:EW251"/>
    <mergeCell ref="HC244:HC246"/>
    <mergeCell ref="HE244:HE246"/>
    <mergeCell ref="HF244:HF246"/>
    <mergeCell ref="EO246:EO248"/>
    <mergeCell ref="EQ246:EQ248"/>
    <mergeCell ref="ES246:ES248"/>
    <mergeCell ref="ET246:ET248"/>
    <mergeCell ref="EW246:EW248"/>
    <mergeCell ref="GU247:GU249"/>
    <mergeCell ref="GW247:GW249"/>
    <mergeCell ref="HF241:HF243"/>
    <mergeCell ref="EO243:EO245"/>
    <mergeCell ref="EQ243:EQ245"/>
    <mergeCell ref="ES243:ES245"/>
    <mergeCell ref="ET243:ET245"/>
    <mergeCell ref="EW243:EW245"/>
    <mergeCell ref="GU244:GU246"/>
    <mergeCell ref="GW244:GW246"/>
    <mergeCell ref="GX244:GX246"/>
    <mergeCell ref="HA244:HA246"/>
    <mergeCell ref="GU241:GU243"/>
    <mergeCell ref="GW241:GW243"/>
    <mergeCell ref="GX241:GX243"/>
    <mergeCell ref="HA241:HA243"/>
    <mergeCell ref="HC241:HC243"/>
    <mergeCell ref="HE241:HE243"/>
    <mergeCell ref="GX232:GX234"/>
    <mergeCell ref="HA232:HA234"/>
    <mergeCell ref="HC232:HC234"/>
    <mergeCell ref="HE232:HE234"/>
    <mergeCell ref="HF232:HF234"/>
    <mergeCell ref="EO240:EO242"/>
    <mergeCell ref="EQ240:EQ242"/>
    <mergeCell ref="ES240:ES242"/>
    <mergeCell ref="ET240:ET242"/>
    <mergeCell ref="EW240:EW242"/>
    <mergeCell ref="HC229:HC231"/>
    <mergeCell ref="HE229:HE231"/>
    <mergeCell ref="HF229:HF231"/>
    <mergeCell ref="EO231:EO233"/>
    <mergeCell ref="EQ231:EQ233"/>
    <mergeCell ref="ES231:ES233"/>
    <mergeCell ref="ET231:ET233"/>
    <mergeCell ref="EW231:EW233"/>
    <mergeCell ref="GU232:GU234"/>
    <mergeCell ref="GW232:GW234"/>
    <mergeCell ref="HF226:HF228"/>
    <mergeCell ref="EO228:EO230"/>
    <mergeCell ref="EQ228:EQ230"/>
    <mergeCell ref="ES228:ES230"/>
    <mergeCell ref="ET228:ET230"/>
    <mergeCell ref="EW228:EW230"/>
    <mergeCell ref="GU229:GU231"/>
    <mergeCell ref="GW229:GW231"/>
    <mergeCell ref="GX229:GX231"/>
    <mergeCell ref="HA229:HA231"/>
    <mergeCell ref="GU226:GU228"/>
    <mergeCell ref="GW226:GW228"/>
    <mergeCell ref="GX226:GX228"/>
    <mergeCell ref="HA226:HA228"/>
    <mergeCell ref="HC226:HC228"/>
    <mergeCell ref="HE226:HE228"/>
    <mergeCell ref="GX223:GX225"/>
    <mergeCell ref="HA223:HA225"/>
    <mergeCell ref="HC223:HC225"/>
    <mergeCell ref="HE223:HE225"/>
    <mergeCell ref="HF223:HF225"/>
    <mergeCell ref="EO225:EO227"/>
    <mergeCell ref="EQ225:EQ227"/>
    <mergeCell ref="ES225:ES227"/>
    <mergeCell ref="ET225:ET227"/>
    <mergeCell ref="EW225:EW227"/>
    <mergeCell ref="HC220:HC222"/>
    <mergeCell ref="HE220:HE222"/>
    <mergeCell ref="HF220:HF222"/>
    <mergeCell ref="EO222:EO224"/>
    <mergeCell ref="EQ222:EQ224"/>
    <mergeCell ref="ES222:ES224"/>
    <mergeCell ref="ET222:ET224"/>
    <mergeCell ref="EW222:EW224"/>
    <mergeCell ref="GU223:GU225"/>
    <mergeCell ref="GW223:GW225"/>
    <mergeCell ref="HF217:HF219"/>
    <mergeCell ref="EO219:EO221"/>
    <mergeCell ref="EQ219:EQ221"/>
    <mergeCell ref="ES219:ES221"/>
    <mergeCell ref="ET219:ET221"/>
    <mergeCell ref="EW219:EW221"/>
    <mergeCell ref="GU220:GU222"/>
    <mergeCell ref="GW220:GW222"/>
    <mergeCell ref="GX220:GX222"/>
    <mergeCell ref="HA220:HA222"/>
    <mergeCell ref="GU217:GU219"/>
    <mergeCell ref="GW217:GW219"/>
    <mergeCell ref="GX217:GX219"/>
    <mergeCell ref="HA217:HA219"/>
    <mergeCell ref="HC217:HC219"/>
    <mergeCell ref="HE217:HE219"/>
    <mergeCell ref="GX214:GX216"/>
    <mergeCell ref="HA214:HA216"/>
    <mergeCell ref="HC214:HC216"/>
    <mergeCell ref="HE214:HE216"/>
    <mergeCell ref="HF214:HF216"/>
    <mergeCell ref="EO216:EO218"/>
    <mergeCell ref="EQ216:EQ218"/>
    <mergeCell ref="ES216:ES218"/>
    <mergeCell ref="ET216:ET218"/>
    <mergeCell ref="EW216:EW218"/>
    <mergeCell ref="HC205:HC207"/>
    <mergeCell ref="HE205:HE207"/>
    <mergeCell ref="HF205:HF207"/>
    <mergeCell ref="EO213:EO215"/>
    <mergeCell ref="EQ213:EQ215"/>
    <mergeCell ref="ES213:ES215"/>
    <mergeCell ref="ET213:ET215"/>
    <mergeCell ref="EW213:EW215"/>
    <mergeCell ref="GU214:GU216"/>
    <mergeCell ref="GW214:GW216"/>
    <mergeCell ref="HF202:HF204"/>
    <mergeCell ref="EO204:EO206"/>
    <mergeCell ref="EQ204:EQ206"/>
    <mergeCell ref="ES204:ES206"/>
    <mergeCell ref="ET204:ET206"/>
    <mergeCell ref="EW204:EW206"/>
    <mergeCell ref="GU205:GU207"/>
    <mergeCell ref="GW205:GW207"/>
    <mergeCell ref="GX205:GX207"/>
    <mergeCell ref="HA205:HA207"/>
    <mergeCell ref="GU202:GU204"/>
    <mergeCell ref="GW202:GW204"/>
    <mergeCell ref="GX202:GX204"/>
    <mergeCell ref="HA202:HA204"/>
    <mergeCell ref="HC202:HC204"/>
    <mergeCell ref="HE202:HE204"/>
    <mergeCell ref="GX199:GX201"/>
    <mergeCell ref="HA199:HA201"/>
    <mergeCell ref="HC199:HC201"/>
    <mergeCell ref="HE199:HE201"/>
    <mergeCell ref="HF199:HF201"/>
    <mergeCell ref="EO201:EO203"/>
    <mergeCell ref="EQ201:EQ203"/>
    <mergeCell ref="ES201:ES203"/>
    <mergeCell ref="ET201:ET203"/>
    <mergeCell ref="EW201:EW203"/>
    <mergeCell ref="HC196:HC198"/>
    <mergeCell ref="HE196:HE198"/>
    <mergeCell ref="HF196:HF198"/>
    <mergeCell ref="EO198:EO200"/>
    <mergeCell ref="EQ198:EQ200"/>
    <mergeCell ref="ES198:ES200"/>
    <mergeCell ref="ET198:ET200"/>
    <mergeCell ref="EW198:EW200"/>
    <mergeCell ref="GU199:GU201"/>
    <mergeCell ref="GW199:GW201"/>
    <mergeCell ref="HF193:HF195"/>
    <mergeCell ref="EO195:EO197"/>
    <mergeCell ref="EQ195:EQ197"/>
    <mergeCell ref="ES195:ES197"/>
    <mergeCell ref="ET195:ET197"/>
    <mergeCell ref="EW195:EW197"/>
    <mergeCell ref="GU196:GU198"/>
    <mergeCell ref="GW196:GW198"/>
    <mergeCell ref="GX196:GX198"/>
    <mergeCell ref="HA196:HA198"/>
    <mergeCell ref="GU193:GU195"/>
    <mergeCell ref="GW193:GW195"/>
    <mergeCell ref="GX193:GX195"/>
    <mergeCell ref="HA193:HA195"/>
    <mergeCell ref="HC193:HC195"/>
    <mergeCell ref="HE193:HE195"/>
    <mergeCell ref="GX190:GX192"/>
    <mergeCell ref="HA190:HA192"/>
    <mergeCell ref="HC190:HC192"/>
    <mergeCell ref="HE190:HE192"/>
    <mergeCell ref="HF190:HF192"/>
    <mergeCell ref="EO192:EO194"/>
    <mergeCell ref="EQ192:EQ194"/>
    <mergeCell ref="ES192:ES194"/>
    <mergeCell ref="ET192:ET194"/>
    <mergeCell ref="EW192:EW194"/>
    <mergeCell ref="HC187:HC189"/>
    <mergeCell ref="HE187:HE189"/>
    <mergeCell ref="HF187:HF189"/>
    <mergeCell ref="EO189:EO191"/>
    <mergeCell ref="EQ189:EQ191"/>
    <mergeCell ref="ES189:ES191"/>
    <mergeCell ref="ET189:ET191"/>
    <mergeCell ref="EW189:EW191"/>
    <mergeCell ref="GU190:GU192"/>
    <mergeCell ref="GW190:GW192"/>
    <mergeCell ref="ET186:ET188"/>
    <mergeCell ref="EW186:EW188"/>
    <mergeCell ref="GU187:GU189"/>
    <mergeCell ref="GW187:GW189"/>
    <mergeCell ref="GX187:GX189"/>
    <mergeCell ref="HA187:HA189"/>
    <mergeCell ref="BE68:BF68"/>
    <mergeCell ref="BA101:BF102"/>
    <mergeCell ref="BA103:BF104"/>
    <mergeCell ref="EO186:EO188"/>
    <mergeCell ref="EQ186:EQ188"/>
    <mergeCell ref="ES186:ES188"/>
    <mergeCell ref="AA68:AB68"/>
    <mergeCell ref="AU68:AV68"/>
    <mergeCell ref="AW68:AX68"/>
    <mergeCell ref="AY68:AZ68"/>
    <mergeCell ref="BA68:BB68"/>
    <mergeCell ref="BC68:BD68"/>
    <mergeCell ref="BE66:BF66"/>
    <mergeCell ref="AA67:AB67"/>
    <mergeCell ref="AU67:AV67"/>
    <mergeCell ref="AW67:AX67"/>
    <mergeCell ref="AY67:AZ67"/>
    <mergeCell ref="BA67:BB67"/>
    <mergeCell ref="BC67:BD67"/>
    <mergeCell ref="BE67:BF67"/>
    <mergeCell ref="AA66:AB66"/>
    <mergeCell ref="AU66:AV66"/>
    <mergeCell ref="AW66:AX66"/>
    <mergeCell ref="AY66:AZ66"/>
    <mergeCell ref="BA66:BB66"/>
    <mergeCell ref="BC66:BD66"/>
    <mergeCell ref="BE64:BF64"/>
    <mergeCell ref="AA65:AB65"/>
    <mergeCell ref="AU65:AV65"/>
    <mergeCell ref="AW65:AX65"/>
    <mergeCell ref="AY65:AZ65"/>
    <mergeCell ref="BA65:BB65"/>
    <mergeCell ref="BC65:BD65"/>
    <mergeCell ref="BE65:BF65"/>
    <mergeCell ref="AA64:AB64"/>
    <mergeCell ref="AU64:AV64"/>
    <mergeCell ref="AW64:AX64"/>
    <mergeCell ref="AY64:AZ64"/>
    <mergeCell ref="BA64:BB64"/>
    <mergeCell ref="BC64:BD64"/>
    <mergeCell ref="BE62:BF62"/>
    <mergeCell ref="AA63:AB63"/>
    <mergeCell ref="AU63:AV63"/>
    <mergeCell ref="AW63:AX63"/>
    <mergeCell ref="AY63:AZ63"/>
    <mergeCell ref="BA63:BB63"/>
    <mergeCell ref="BC63:BD63"/>
    <mergeCell ref="BE63:BF63"/>
    <mergeCell ref="AA62:AB62"/>
    <mergeCell ref="AU62:AV62"/>
    <mergeCell ref="AW62:AX62"/>
    <mergeCell ref="AY62:AZ62"/>
    <mergeCell ref="BA62:BB62"/>
    <mergeCell ref="BC62:BD62"/>
    <mergeCell ref="BC60:BD60"/>
    <mergeCell ref="BE60:BF60"/>
    <mergeCell ref="AA61:AB61"/>
    <mergeCell ref="AU61:AV61"/>
    <mergeCell ref="AW61:AX61"/>
    <mergeCell ref="AY61:AZ61"/>
    <mergeCell ref="BA61:BB61"/>
    <mergeCell ref="BC61:BD61"/>
    <mergeCell ref="BE61:BF61"/>
    <mergeCell ref="AW59:AX59"/>
    <mergeCell ref="AY59:AZ59"/>
    <mergeCell ref="BA59:BB59"/>
    <mergeCell ref="BC59:BD59"/>
    <mergeCell ref="BE59:BF59"/>
    <mergeCell ref="AA60:AB60"/>
    <mergeCell ref="AU60:AV60"/>
    <mergeCell ref="AW60:AX60"/>
    <mergeCell ref="AY60:AZ60"/>
    <mergeCell ref="BA60:BB60"/>
    <mergeCell ref="CG57:CG58"/>
    <mergeCell ref="AA58:AB58"/>
    <mergeCell ref="AC58:AD58"/>
    <mergeCell ref="AE58:AF58"/>
    <mergeCell ref="AG58:AH58"/>
    <mergeCell ref="AI58:AJ58"/>
    <mergeCell ref="AK58:AK103"/>
    <mergeCell ref="AU58:AV58"/>
    <mergeCell ref="AW58:AZ58"/>
    <mergeCell ref="BA58:BD58"/>
    <mergeCell ref="M57:M58"/>
    <mergeCell ref="N57:N104"/>
    <mergeCell ref="U57:U104"/>
    <mergeCell ref="AJ57:AK57"/>
    <mergeCell ref="BF57:BG57"/>
    <mergeCell ref="CF57:CF58"/>
    <mergeCell ref="BE58:BF58"/>
    <mergeCell ref="BG58:BG104"/>
    <mergeCell ref="AA59:AB59"/>
    <mergeCell ref="AU59:AV59"/>
    <mergeCell ref="G57:G58"/>
    <mergeCell ref="H57:H58"/>
    <mergeCell ref="I57:I58"/>
    <mergeCell ref="J57:J58"/>
    <mergeCell ref="K57:K58"/>
    <mergeCell ref="L57:L58"/>
    <mergeCell ref="A57:A58"/>
    <mergeCell ref="B57:B58"/>
    <mergeCell ref="C57:C58"/>
    <mergeCell ref="D57:D58"/>
    <mergeCell ref="E57:E58"/>
    <mergeCell ref="F57:F58"/>
    <mergeCell ref="A56:N56"/>
    <mergeCell ref="O56:X56"/>
    <mergeCell ref="AA56:AJ56"/>
    <mergeCell ref="AU56:AW56"/>
    <mergeCell ref="AX56:AZ56"/>
    <mergeCell ref="BA56:BF56"/>
    <mergeCell ref="A55:M55"/>
    <mergeCell ref="O55:X55"/>
    <mergeCell ref="AA55:AJ55"/>
    <mergeCell ref="AU55:AW55"/>
    <mergeCell ref="AX55:AZ55"/>
    <mergeCell ref="BA55:BF55"/>
    <mergeCell ref="M6:M7"/>
    <mergeCell ref="N6:N53"/>
    <mergeCell ref="U6:U53"/>
    <mergeCell ref="AJ6:AJ53"/>
    <mergeCell ref="CF6:CF7"/>
    <mergeCell ref="CG6:CG7"/>
    <mergeCell ref="AU53:BF54"/>
    <mergeCell ref="A54:M54"/>
    <mergeCell ref="O54:X54"/>
    <mergeCell ref="AA54:AJ54"/>
    <mergeCell ref="G6:G7"/>
    <mergeCell ref="H6:H7"/>
    <mergeCell ref="I6:I7"/>
    <mergeCell ref="J6:J7"/>
    <mergeCell ref="K6:K7"/>
    <mergeCell ref="L6:L7"/>
    <mergeCell ref="A4:M4"/>
    <mergeCell ref="O4:X4"/>
    <mergeCell ref="AA4:AJ4"/>
    <mergeCell ref="M5:N5"/>
    <mergeCell ref="A6:A7"/>
    <mergeCell ref="B6:B7"/>
    <mergeCell ref="C6:C7"/>
    <mergeCell ref="D6:D7"/>
    <mergeCell ref="E6:E7"/>
    <mergeCell ref="F6:F7"/>
    <mergeCell ref="A2:M2"/>
    <mergeCell ref="O2:X2"/>
    <mergeCell ref="AA2:AJ2"/>
    <mergeCell ref="A3:M3"/>
    <mergeCell ref="O3:X3"/>
    <mergeCell ref="AA3:AJ3"/>
  </mergeCells>
  <printOptions horizontalCentered="1"/>
  <pageMargins left="0.75" right="0.75" top="0.75" bottom="0.75" header="0.5" footer="0.5"/>
  <pageSetup scale="65" fitToWidth="3" fitToHeight="2" orientation="portrait" r:id="rId1"/>
  <headerFooter alignWithMargins="0"/>
  <rowBreaks count="1" manualBreakCount="1">
    <brk id="53" max="36" man="1"/>
  </rowBreaks>
  <colBreaks count="2" manualBreakCount="2">
    <brk id="14" min="1" max="103" man="1"/>
    <brk id="25" min="1" max="103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 Control</vt:lpstr>
      <vt:lpstr>temp</vt:lpstr>
      <vt:lpstr>10K110</vt:lpstr>
      <vt:lpstr>'10K110'!Print_Area</vt:lpstr>
      <vt:lpstr>temp!Print_Area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Owner</cp:lastModifiedBy>
  <cp:lastPrinted>2004-08-19T18:51:08Z</cp:lastPrinted>
  <dcterms:created xsi:type="dcterms:W3CDTF">1996-10-14T23:33:28Z</dcterms:created>
  <dcterms:modified xsi:type="dcterms:W3CDTF">2015-11-18T16:37:54Z</dcterms:modified>
</cp:coreProperties>
</file>